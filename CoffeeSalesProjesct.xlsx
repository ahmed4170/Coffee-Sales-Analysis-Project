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hmed\Desktop\"/>
    </mc:Choice>
  </mc:AlternateContent>
  <xr:revisionPtr revIDLastSave="0" documentId="13_ncr:1_{D15F7EB3-82BE-4782-A44A-D509913D656F}" xr6:coauthVersionLast="47" xr6:coauthVersionMax="47" xr10:uidLastSave="{00000000-0000-0000-0000-000000000000}"/>
  <bookViews>
    <workbookView showSheetTabs="0" xWindow="-108" yWindow="-108" windowWidth="23256" windowHeight="13176"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G7" i="17"/>
  <c r="F3" i="17"/>
  <c r="G3" i="17"/>
  <c r="H3" i="17"/>
  <c r="I3" i="17"/>
  <c r="N3" i="17" s="1"/>
  <c r="J3" i="17"/>
  <c r="O3" i="17" s="1"/>
  <c r="K3" i="17"/>
  <c r="L3" i="17"/>
  <c r="M3" i="17" s="1"/>
  <c r="F6" i="17"/>
  <c r="G6" i="17"/>
  <c r="H6" i="17"/>
  <c r="I6" i="17"/>
  <c r="N6" i="17" s="1"/>
  <c r="J6" i="17"/>
  <c r="K6" i="17"/>
  <c r="L6" i="17"/>
  <c r="M6" i="17" s="1"/>
  <c r="O6" i="17"/>
  <c r="F22" i="17"/>
  <c r="G22" i="17"/>
  <c r="H22" i="17"/>
  <c r="I22" i="17"/>
  <c r="N22" i="17" s="1"/>
  <c r="J22" i="17"/>
  <c r="O22" i="17" s="1"/>
  <c r="K22" i="17"/>
  <c r="L22" i="17"/>
  <c r="M22" i="17"/>
  <c r="F33" i="17"/>
  <c r="G33" i="17"/>
  <c r="H33" i="17"/>
  <c r="I33" i="17"/>
  <c r="N33" i="17" s="1"/>
  <c r="J33" i="17"/>
  <c r="K33" i="17"/>
  <c r="L33" i="17"/>
  <c r="M33" i="17" s="1"/>
  <c r="O33" i="17"/>
  <c r="F34" i="17"/>
  <c r="G34" i="17"/>
  <c r="H34" i="17"/>
  <c r="I34" i="17"/>
  <c r="J34" i="17"/>
  <c r="K34" i="17"/>
  <c r="L34" i="17"/>
  <c r="M34" i="17"/>
  <c r="N34" i="17"/>
  <c r="O34" i="17"/>
  <c r="F55" i="17"/>
  <c r="G55" i="17"/>
  <c r="H55" i="17"/>
  <c r="I55" i="17"/>
  <c r="N55" i="17" s="1"/>
  <c r="J55" i="17"/>
  <c r="K55" i="17"/>
  <c r="L55" i="17"/>
  <c r="M55" i="17" s="1"/>
  <c r="O55" i="17"/>
  <c r="F88" i="17"/>
  <c r="G88" i="17"/>
  <c r="H88" i="17"/>
  <c r="I88" i="17"/>
  <c r="N88" i="17" s="1"/>
  <c r="J88" i="17"/>
  <c r="K88" i="17"/>
  <c r="L88" i="17"/>
  <c r="M88" i="17" s="1"/>
  <c r="O88" i="17"/>
  <c r="F122" i="17"/>
  <c r="G122" i="17"/>
  <c r="H122" i="17"/>
  <c r="I122" i="17"/>
  <c r="J122" i="17"/>
  <c r="K122" i="17"/>
  <c r="L122" i="17"/>
  <c r="M122" i="17" s="1"/>
  <c r="N122" i="17"/>
  <c r="O122" i="17"/>
  <c r="F123" i="17"/>
  <c r="G123" i="17"/>
  <c r="H123" i="17"/>
  <c r="I123" i="17"/>
  <c r="N123" i="17" s="1"/>
  <c r="J123" i="17"/>
  <c r="O123" i="17" s="1"/>
  <c r="K123" i="17"/>
  <c r="L123" i="17"/>
  <c r="M123" i="17" s="1"/>
  <c r="F149" i="17"/>
  <c r="G149" i="17"/>
  <c r="H149" i="17"/>
  <c r="I149" i="17"/>
  <c r="N149" i="17" s="1"/>
  <c r="J149" i="17"/>
  <c r="O149" i="17" s="1"/>
  <c r="K149" i="17"/>
  <c r="L149" i="17"/>
  <c r="M149" i="17" s="1"/>
  <c r="F183" i="17"/>
  <c r="G183" i="17"/>
  <c r="H183" i="17"/>
  <c r="I183" i="17"/>
  <c r="N183" i="17" s="1"/>
  <c r="J183" i="17"/>
  <c r="K183" i="17"/>
  <c r="L183" i="17"/>
  <c r="M183" i="17" s="1"/>
  <c r="O183" i="17"/>
  <c r="F199" i="17"/>
  <c r="G199" i="17"/>
  <c r="H199" i="17"/>
  <c r="I199" i="17"/>
  <c r="J199" i="17"/>
  <c r="K199" i="17"/>
  <c r="L199" i="17"/>
  <c r="M199" i="17"/>
  <c r="N199" i="17"/>
  <c r="O199" i="17"/>
  <c r="F200" i="17"/>
  <c r="G200" i="17"/>
  <c r="H200" i="17"/>
  <c r="I200" i="17"/>
  <c r="N200" i="17" s="1"/>
  <c r="J200" i="17"/>
  <c r="K200" i="17"/>
  <c r="L200" i="17"/>
  <c r="M200" i="17" s="1"/>
  <c r="O200" i="17"/>
  <c r="F201" i="17"/>
  <c r="G201" i="17"/>
  <c r="H201" i="17"/>
  <c r="I201" i="17"/>
  <c r="N201" i="17" s="1"/>
  <c r="J201" i="17"/>
  <c r="O201" i="17" s="1"/>
  <c r="K201" i="17"/>
  <c r="L201" i="17"/>
  <c r="M201" i="17" s="1"/>
  <c r="F202" i="17"/>
  <c r="G202" i="17"/>
  <c r="H202" i="17"/>
  <c r="I202" i="17"/>
  <c r="N202" i="17" s="1"/>
  <c r="J202" i="17"/>
  <c r="O202" i="17" s="1"/>
  <c r="K202" i="17"/>
  <c r="L202" i="17"/>
  <c r="M202" i="17"/>
  <c r="F222" i="17"/>
  <c r="G222" i="17"/>
  <c r="H222" i="17"/>
  <c r="I222" i="17"/>
  <c r="N222" i="17" s="1"/>
  <c r="J222" i="17"/>
  <c r="O222" i="17" s="1"/>
  <c r="K222" i="17"/>
  <c r="L222" i="17"/>
  <c r="M222" i="17" s="1"/>
  <c r="F322" i="17"/>
  <c r="G322" i="17"/>
  <c r="H322" i="17"/>
  <c r="I322" i="17"/>
  <c r="J322" i="17"/>
  <c r="K322" i="17"/>
  <c r="L322" i="17"/>
  <c r="M322" i="17" s="1"/>
  <c r="N322" i="17"/>
  <c r="O322" i="17"/>
  <c r="F344" i="17"/>
  <c r="G344" i="17"/>
  <c r="H344" i="17"/>
  <c r="I344" i="17"/>
  <c r="J344" i="17"/>
  <c r="O344" i="17" s="1"/>
  <c r="K344" i="17"/>
  <c r="L344" i="17"/>
  <c r="M344" i="17"/>
  <c r="N344" i="17"/>
  <c r="F363" i="17"/>
  <c r="G363" i="17"/>
  <c r="H363" i="17"/>
  <c r="I363" i="17"/>
  <c r="N363" i="17" s="1"/>
  <c r="J363" i="17"/>
  <c r="K363" i="17"/>
  <c r="L363" i="17"/>
  <c r="M363" i="17" s="1"/>
  <c r="O363" i="17"/>
  <c r="F395" i="17"/>
  <c r="G395" i="17"/>
  <c r="H395" i="17"/>
  <c r="I395" i="17"/>
  <c r="J395" i="17"/>
  <c r="O395" i="17" s="1"/>
  <c r="K395" i="17"/>
  <c r="L395" i="17"/>
  <c r="M395" i="17"/>
  <c r="N395" i="17"/>
  <c r="F423" i="17"/>
  <c r="G423" i="17"/>
  <c r="H423" i="17"/>
  <c r="I423" i="17"/>
  <c r="N423" i="17" s="1"/>
  <c r="J423" i="17"/>
  <c r="K423" i="17"/>
  <c r="L423" i="17"/>
  <c r="M423" i="17"/>
  <c r="O423" i="17"/>
  <c r="F481" i="17"/>
  <c r="G481" i="17"/>
  <c r="H481" i="17"/>
  <c r="I481" i="17"/>
  <c r="J481" i="17"/>
  <c r="K481" i="17"/>
  <c r="L481" i="17"/>
  <c r="M481" i="17"/>
  <c r="N481" i="17"/>
  <c r="O481" i="17"/>
  <c r="F482" i="17"/>
  <c r="G482" i="17"/>
  <c r="H482" i="17"/>
  <c r="I482" i="17"/>
  <c r="N482" i="17" s="1"/>
  <c r="J482" i="17"/>
  <c r="K482" i="17"/>
  <c r="L482" i="17"/>
  <c r="M482" i="17" s="1"/>
  <c r="O482" i="17"/>
  <c r="F504" i="17"/>
  <c r="G504" i="17"/>
  <c r="H504" i="17"/>
  <c r="I504" i="17"/>
  <c r="N504" i="17" s="1"/>
  <c r="J504" i="17"/>
  <c r="K504" i="17"/>
  <c r="L504" i="17"/>
  <c r="M504" i="17" s="1"/>
  <c r="O504" i="17"/>
  <c r="F505" i="17"/>
  <c r="G505" i="17"/>
  <c r="H505" i="17"/>
  <c r="I505" i="17"/>
  <c r="J505" i="17"/>
  <c r="O505" i="17" s="1"/>
  <c r="K505" i="17"/>
  <c r="L505" i="17"/>
  <c r="M505" i="17"/>
  <c r="N505" i="17"/>
  <c r="F506" i="17"/>
  <c r="G506" i="17"/>
  <c r="H506" i="17"/>
  <c r="I506" i="17"/>
  <c r="J506" i="17"/>
  <c r="K506" i="17"/>
  <c r="L506" i="17"/>
  <c r="M506" i="17"/>
  <c r="N506" i="17"/>
  <c r="O506" i="17"/>
  <c r="F523" i="17"/>
  <c r="G523" i="17"/>
  <c r="H523" i="17"/>
  <c r="I523" i="17"/>
  <c r="N523" i="17" s="1"/>
  <c r="J523" i="17"/>
  <c r="O523" i="17" s="1"/>
  <c r="K523" i="17"/>
  <c r="L523" i="17"/>
  <c r="M523" i="17" s="1"/>
  <c r="F581" i="17"/>
  <c r="G581" i="17"/>
  <c r="H581" i="17"/>
  <c r="I581" i="17"/>
  <c r="J581" i="17"/>
  <c r="K581" i="17"/>
  <c r="L581" i="17"/>
  <c r="M581" i="17"/>
  <c r="N581" i="17"/>
  <c r="O581" i="17"/>
  <c r="F631" i="17"/>
  <c r="G631" i="17"/>
  <c r="H631" i="17"/>
  <c r="I631" i="17"/>
  <c r="J631" i="17"/>
  <c r="K631" i="17"/>
  <c r="L631" i="17"/>
  <c r="M631" i="17" s="1"/>
  <c r="N631" i="17"/>
  <c r="O631" i="17"/>
  <c r="F632" i="17"/>
  <c r="G632" i="17"/>
  <c r="H632" i="17"/>
  <c r="I632" i="17"/>
  <c r="J632" i="17"/>
  <c r="O632" i="17" s="1"/>
  <c r="K632" i="17"/>
  <c r="L632" i="17"/>
  <c r="M632" i="17"/>
  <c r="N632" i="17"/>
  <c r="F633" i="17"/>
  <c r="G633" i="17"/>
  <c r="H633" i="17"/>
  <c r="I633" i="17"/>
  <c r="J633" i="17"/>
  <c r="O633" i="17" s="1"/>
  <c r="K633" i="17"/>
  <c r="L633" i="17"/>
  <c r="M633" i="17" s="1"/>
  <c r="N633" i="17"/>
  <c r="F667" i="17"/>
  <c r="G667" i="17"/>
  <c r="H667" i="17"/>
  <c r="I667" i="17"/>
  <c r="J667" i="17"/>
  <c r="O667" i="17" s="1"/>
  <c r="K667" i="17"/>
  <c r="L667" i="17"/>
  <c r="M667" i="17" s="1"/>
  <c r="N667" i="17"/>
  <c r="F768" i="17"/>
  <c r="G768" i="17"/>
  <c r="H768" i="17"/>
  <c r="I768" i="17"/>
  <c r="J768" i="17"/>
  <c r="K768" i="17"/>
  <c r="L768" i="17"/>
  <c r="M768" i="17" s="1"/>
  <c r="N768" i="17"/>
  <c r="O768" i="17"/>
  <c r="F814" i="17"/>
  <c r="G814" i="17"/>
  <c r="H814" i="17"/>
  <c r="I814" i="17"/>
  <c r="J814" i="17"/>
  <c r="K814" i="17"/>
  <c r="L814" i="17"/>
  <c r="M814" i="17" s="1"/>
  <c r="N814" i="17"/>
  <c r="O814" i="17"/>
  <c r="F833" i="17"/>
  <c r="G833" i="17"/>
  <c r="H833" i="17"/>
  <c r="I833" i="17"/>
  <c r="J833" i="17"/>
  <c r="K833" i="17"/>
  <c r="L833" i="17"/>
  <c r="M833" i="17" s="1"/>
  <c r="N833" i="17"/>
  <c r="O833" i="17"/>
  <c r="F852" i="17"/>
  <c r="G852" i="17"/>
  <c r="H852" i="17"/>
  <c r="I852" i="17"/>
  <c r="J852" i="17"/>
  <c r="O852" i="17" s="1"/>
  <c r="K852" i="17"/>
  <c r="L852" i="17"/>
  <c r="M852" i="17" s="1"/>
  <c r="N852" i="17"/>
  <c r="F878" i="17"/>
  <c r="G878" i="17"/>
  <c r="H878" i="17"/>
  <c r="I878" i="17"/>
  <c r="J878" i="17"/>
  <c r="K878" i="17"/>
  <c r="L878" i="17"/>
  <c r="M878" i="17"/>
  <c r="N878" i="17"/>
  <c r="O878" i="17"/>
  <c r="F920" i="17"/>
  <c r="G920" i="17"/>
  <c r="H920" i="17"/>
  <c r="I920" i="17"/>
  <c r="J920" i="17"/>
  <c r="K920" i="17"/>
  <c r="L920" i="17"/>
  <c r="M920" i="17"/>
  <c r="N920" i="17"/>
  <c r="O920" i="17"/>
  <c r="F939" i="17"/>
  <c r="G939" i="17"/>
  <c r="H939" i="17"/>
  <c r="I939" i="17"/>
  <c r="N939" i="17" s="1"/>
  <c r="J939" i="17"/>
  <c r="K939" i="17"/>
  <c r="L939" i="17"/>
  <c r="M939" i="17" s="1"/>
  <c r="O939" i="17"/>
  <c r="F958" i="17"/>
  <c r="G958" i="17"/>
  <c r="H958" i="17"/>
  <c r="I958" i="17"/>
  <c r="J958" i="17"/>
  <c r="K958" i="17"/>
  <c r="L958" i="17"/>
  <c r="M958" i="17" s="1"/>
  <c r="N958" i="17"/>
  <c r="O958" i="17"/>
  <c r="F959" i="17"/>
  <c r="G959" i="17"/>
  <c r="H959" i="17"/>
  <c r="I959" i="17"/>
  <c r="N959" i="17" s="1"/>
  <c r="J959" i="17"/>
  <c r="O959" i="17" s="1"/>
  <c r="K959" i="17"/>
  <c r="L959" i="17"/>
  <c r="M959" i="17" s="1"/>
  <c r="F960" i="17"/>
  <c r="G960" i="17"/>
  <c r="H960" i="17"/>
  <c r="I960" i="17"/>
  <c r="N960" i="17" s="1"/>
  <c r="J960" i="17"/>
  <c r="O960" i="17" s="1"/>
  <c r="K960" i="17"/>
  <c r="L960" i="17"/>
  <c r="M960" i="17" s="1"/>
  <c r="F993" i="17"/>
  <c r="G993" i="17"/>
  <c r="H993" i="17"/>
  <c r="I993" i="17"/>
  <c r="N993" i="17" s="1"/>
  <c r="J993" i="17"/>
  <c r="K993" i="17"/>
  <c r="L993" i="17"/>
  <c r="M993" i="17" s="1"/>
  <c r="O993" i="17"/>
  <c r="L4" i="17"/>
  <c r="M4" i="17" s="1"/>
  <c r="L5" i="17"/>
  <c r="M5"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3" i="17"/>
  <c r="M23" i="17" s="1"/>
  <c r="L24" i="17"/>
  <c r="M24" i="17" s="1"/>
  <c r="L25" i="17"/>
  <c r="M25" i="17" s="1"/>
  <c r="L26" i="17"/>
  <c r="M26" i="17" s="1"/>
  <c r="L27" i="17"/>
  <c r="M27" i="17" s="1"/>
  <c r="L28" i="17"/>
  <c r="M28" i="17" s="1"/>
  <c r="L29" i="17"/>
  <c r="M29" i="17" s="1"/>
  <c r="L30" i="17"/>
  <c r="M30" i="17" s="1"/>
  <c r="L31" i="17"/>
  <c r="M31" i="17" s="1"/>
  <c r="L32" i="17"/>
  <c r="M32"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4" i="17"/>
  <c r="M994" i="17" s="1"/>
  <c r="L995" i="17"/>
  <c r="M995" i="17" s="1"/>
  <c r="L996" i="17"/>
  <c r="M996" i="17" s="1"/>
  <c r="L997" i="17"/>
  <c r="M997" i="17" s="1"/>
  <c r="L998" i="17"/>
  <c r="M998" i="17" s="1"/>
  <c r="L999" i="17"/>
  <c r="M999" i="17" s="1"/>
  <c r="L1000" i="17"/>
  <c r="M1000" i="17" s="1"/>
  <c r="L1001" i="17"/>
  <c r="M1001" i="17" s="1"/>
  <c r="K4" i="17"/>
  <c r="K5" i="17"/>
  <c r="K7" i="17"/>
  <c r="K8" i="17"/>
  <c r="K9" i="17"/>
  <c r="K10" i="17"/>
  <c r="K11" i="17"/>
  <c r="K12" i="17"/>
  <c r="K13" i="17"/>
  <c r="K14" i="17"/>
  <c r="K15" i="17"/>
  <c r="K16" i="17"/>
  <c r="K17" i="17"/>
  <c r="K18" i="17"/>
  <c r="K19" i="17"/>
  <c r="K20" i="17"/>
  <c r="K21" i="17"/>
  <c r="K23" i="17"/>
  <c r="K24" i="17"/>
  <c r="K25" i="17"/>
  <c r="K26" i="17"/>
  <c r="K27" i="17"/>
  <c r="K28" i="17"/>
  <c r="K29" i="17"/>
  <c r="K30" i="17"/>
  <c r="K31" i="17"/>
  <c r="K32" i="17"/>
  <c r="K35" i="17"/>
  <c r="K36" i="17"/>
  <c r="K37" i="17"/>
  <c r="K38" i="17"/>
  <c r="K39" i="17"/>
  <c r="K40" i="17"/>
  <c r="K41" i="17"/>
  <c r="K42" i="17"/>
  <c r="K43" i="17"/>
  <c r="K44" i="17"/>
  <c r="K45" i="17"/>
  <c r="K46" i="17"/>
  <c r="K47" i="17"/>
  <c r="K48" i="17"/>
  <c r="K49" i="17"/>
  <c r="K50" i="17"/>
  <c r="K51" i="17"/>
  <c r="K52" i="17"/>
  <c r="K53" i="17"/>
  <c r="K54"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4" i="17"/>
  <c r="K185" i="17"/>
  <c r="K186" i="17"/>
  <c r="K187" i="17"/>
  <c r="K188" i="17"/>
  <c r="K189" i="17"/>
  <c r="K190" i="17"/>
  <c r="K191" i="17"/>
  <c r="K192" i="17"/>
  <c r="K193" i="17"/>
  <c r="K194" i="17"/>
  <c r="K195" i="17"/>
  <c r="K196" i="17"/>
  <c r="K197" i="17"/>
  <c r="K198" i="17"/>
  <c r="K203" i="17"/>
  <c r="K204" i="17"/>
  <c r="K205" i="17"/>
  <c r="K206" i="17"/>
  <c r="K207" i="17"/>
  <c r="K208" i="17"/>
  <c r="K209" i="17"/>
  <c r="K210" i="17"/>
  <c r="K211" i="17"/>
  <c r="K212" i="17"/>
  <c r="K213" i="17"/>
  <c r="K214" i="17"/>
  <c r="K215" i="17"/>
  <c r="K216" i="17"/>
  <c r="K217" i="17"/>
  <c r="K218" i="17"/>
  <c r="K219" i="17"/>
  <c r="K220" i="17"/>
  <c r="K221"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3" i="17"/>
  <c r="K324" i="17"/>
  <c r="K325" i="17"/>
  <c r="K326" i="17"/>
  <c r="K327" i="17"/>
  <c r="K328" i="17"/>
  <c r="K329" i="17"/>
  <c r="K330" i="17"/>
  <c r="K331" i="17"/>
  <c r="K332" i="17"/>
  <c r="K333" i="17"/>
  <c r="K334" i="17"/>
  <c r="K335" i="17"/>
  <c r="K336" i="17"/>
  <c r="K337" i="17"/>
  <c r="K338" i="17"/>
  <c r="K339" i="17"/>
  <c r="K340" i="17"/>
  <c r="K341" i="17"/>
  <c r="K342" i="17"/>
  <c r="K343" i="17"/>
  <c r="K345" i="17"/>
  <c r="K346" i="17"/>
  <c r="K347" i="17"/>
  <c r="K348" i="17"/>
  <c r="K349" i="17"/>
  <c r="K350" i="17"/>
  <c r="K351" i="17"/>
  <c r="K352" i="17"/>
  <c r="K353" i="17"/>
  <c r="K354" i="17"/>
  <c r="K355" i="17"/>
  <c r="K356" i="17"/>
  <c r="K357" i="17"/>
  <c r="K358" i="17"/>
  <c r="K359" i="17"/>
  <c r="K360" i="17"/>
  <c r="K361" i="17"/>
  <c r="K362"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3" i="17"/>
  <c r="K484" i="17"/>
  <c r="K485" i="17"/>
  <c r="K486" i="17"/>
  <c r="K487" i="17"/>
  <c r="K488" i="17"/>
  <c r="K489" i="17"/>
  <c r="K490" i="17"/>
  <c r="K491" i="17"/>
  <c r="K492" i="17"/>
  <c r="K493" i="17"/>
  <c r="K494" i="17"/>
  <c r="K495" i="17"/>
  <c r="K496" i="17"/>
  <c r="K497" i="17"/>
  <c r="K498" i="17"/>
  <c r="K499" i="17"/>
  <c r="K500" i="17"/>
  <c r="K501" i="17"/>
  <c r="K502" i="17"/>
  <c r="K503" i="17"/>
  <c r="K507" i="17"/>
  <c r="K508" i="17"/>
  <c r="K509" i="17"/>
  <c r="K510" i="17"/>
  <c r="K511" i="17"/>
  <c r="K512" i="17"/>
  <c r="K513" i="17"/>
  <c r="K514" i="17"/>
  <c r="K515" i="17"/>
  <c r="K516" i="17"/>
  <c r="K517" i="17"/>
  <c r="K518" i="17"/>
  <c r="K519" i="17"/>
  <c r="K520" i="17"/>
  <c r="K521" i="17"/>
  <c r="K522"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5" i="17"/>
  <c r="K816" i="17"/>
  <c r="K817" i="17"/>
  <c r="K818" i="17"/>
  <c r="K819" i="17"/>
  <c r="K820" i="17"/>
  <c r="K821" i="17"/>
  <c r="K822" i="17"/>
  <c r="K823" i="17"/>
  <c r="K824" i="17"/>
  <c r="K825" i="17"/>
  <c r="K826" i="17"/>
  <c r="K827" i="17"/>
  <c r="K828" i="17"/>
  <c r="K829" i="17"/>
  <c r="K830" i="17"/>
  <c r="K831" i="17"/>
  <c r="K832" i="17"/>
  <c r="K834" i="17"/>
  <c r="K835" i="17"/>
  <c r="K836" i="17"/>
  <c r="K837" i="17"/>
  <c r="K838" i="17"/>
  <c r="K839" i="17"/>
  <c r="K840" i="17"/>
  <c r="K841" i="17"/>
  <c r="K842" i="17"/>
  <c r="K843" i="17"/>
  <c r="K844" i="17"/>
  <c r="K845" i="17"/>
  <c r="K846" i="17"/>
  <c r="K847" i="17"/>
  <c r="K848" i="17"/>
  <c r="K849" i="17"/>
  <c r="K850" i="17"/>
  <c r="K851"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1" i="17"/>
  <c r="K922" i="17"/>
  <c r="K923" i="17"/>
  <c r="K924" i="17"/>
  <c r="K925" i="17"/>
  <c r="K926" i="17"/>
  <c r="K927" i="17"/>
  <c r="K928" i="17"/>
  <c r="K929" i="17"/>
  <c r="K930" i="17"/>
  <c r="K931" i="17"/>
  <c r="K932" i="17"/>
  <c r="K933" i="17"/>
  <c r="K934" i="17"/>
  <c r="K935" i="17"/>
  <c r="K936" i="17"/>
  <c r="K937" i="17"/>
  <c r="K938" i="17"/>
  <c r="K940" i="17"/>
  <c r="K941" i="17"/>
  <c r="K942" i="17"/>
  <c r="K943" i="17"/>
  <c r="K944" i="17"/>
  <c r="K945" i="17"/>
  <c r="K946" i="17"/>
  <c r="K947" i="17"/>
  <c r="K948" i="17"/>
  <c r="K949" i="17"/>
  <c r="K950" i="17"/>
  <c r="K951" i="17"/>
  <c r="K952" i="17"/>
  <c r="K953" i="17"/>
  <c r="K954" i="17"/>
  <c r="K955" i="17"/>
  <c r="K956" i="17"/>
  <c r="K957"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4" i="17"/>
  <c r="K995" i="17"/>
  <c r="K996" i="17"/>
  <c r="K997" i="17"/>
  <c r="K998" i="17"/>
  <c r="K999" i="17"/>
  <c r="K1000" i="17"/>
  <c r="K1001" i="17"/>
  <c r="J4" i="17"/>
  <c r="O4" i="17" s="1"/>
  <c r="J5" i="17"/>
  <c r="O5"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3" i="17"/>
  <c r="O23" i="17" s="1"/>
  <c r="J24" i="17"/>
  <c r="O24" i="17" s="1"/>
  <c r="J25" i="17"/>
  <c r="O25" i="17" s="1"/>
  <c r="J26" i="17"/>
  <c r="O26" i="17" s="1"/>
  <c r="J27" i="17"/>
  <c r="O27" i="17" s="1"/>
  <c r="J28" i="17"/>
  <c r="O28" i="17" s="1"/>
  <c r="J29" i="17"/>
  <c r="O29" i="17" s="1"/>
  <c r="J30" i="17"/>
  <c r="O30" i="17" s="1"/>
  <c r="J31" i="17"/>
  <c r="O31" i="17" s="1"/>
  <c r="J32" i="17"/>
  <c r="O32"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4" i="17"/>
  <c r="O994" i="17" s="1"/>
  <c r="J995" i="17"/>
  <c r="O995" i="17" s="1"/>
  <c r="J996" i="17"/>
  <c r="O996" i="17" s="1"/>
  <c r="J997" i="17"/>
  <c r="O997" i="17" s="1"/>
  <c r="J998" i="17"/>
  <c r="O998" i="17" s="1"/>
  <c r="J999" i="17"/>
  <c r="O999" i="17" s="1"/>
  <c r="J1000" i="17"/>
  <c r="O1000" i="17" s="1"/>
  <c r="J1001" i="17"/>
  <c r="O1001" i="17" s="1"/>
  <c r="I4" i="17"/>
  <c r="N4" i="17" s="1"/>
  <c r="I5" i="17"/>
  <c r="N5"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3" i="17"/>
  <c r="N23" i="17" s="1"/>
  <c r="I24" i="17"/>
  <c r="N24" i="17" s="1"/>
  <c r="I25" i="17"/>
  <c r="N25" i="17" s="1"/>
  <c r="I26" i="17"/>
  <c r="N26" i="17" s="1"/>
  <c r="I27" i="17"/>
  <c r="N27" i="17" s="1"/>
  <c r="I28" i="17"/>
  <c r="N28" i="17" s="1"/>
  <c r="I29" i="17"/>
  <c r="N29" i="17" s="1"/>
  <c r="I30" i="17"/>
  <c r="N30" i="17" s="1"/>
  <c r="I31" i="17"/>
  <c r="N31" i="17" s="1"/>
  <c r="I32" i="17"/>
  <c r="N32"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4" i="17"/>
  <c r="N994" i="17" s="1"/>
  <c r="I995" i="17"/>
  <c r="N995" i="17" s="1"/>
  <c r="I996" i="17"/>
  <c r="N996" i="17" s="1"/>
  <c r="I997" i="17"/>
  <c r="N997" i="17" s="1"/>
  <c r="I998" i="17"/>
  <c r="N998" i="17" s="1"/>
  <c r="I999" i="17"/>
  <c r="N999" i="17" s="1"/>
  <c r="I1000" i="17"/>
  <c r="N1000" i="17" s="1"/>
  <c r="I1001" i="17"/>
  <c r="N1001" i="17" s="1"/>
  <c r="J2" i="17"/>
  <c r="O2" i="17" s="1"/>
  <c r="K2" i="17"/>
  <c r="L2" i="17"/>
  <c r="M2" i="17" s="1"/>
  <c r="I2" i="17"/>
  <c r="N2" i="17" s="1"/>
  <c r="H4" i="17"/>
  <c r="H5" i="17"/>
  <c r="H7" i="17"/>
  <c r="H8" i="17"/>
  <c r="H9" i="17"/>
  <c r="H10" i="17"/>
  <c r="H11" i="17"/>
  <c r="H12" i="17"/>
  <c r="H13" i="17"/>
  <c r="H14" i="17"/>
  <c r="H15" i="17"/>
  <c r="H16" i="17"/>
  <c r="H17" i="17"/>
  <c r="H18" i="17"/>
  <c r="H19" i="17"/>
  <c r="H20" i="17"/>
  <c r="H21" i="17"/>
  <c r="H23" i="17"/>
  <c r="H24" i="17"/>
  <c r="H25" i="17"/>
  <c r="H26" i="17"/>
  <c r="H27" i="17"/>
  <c r="H28" i="17"/>
  <c r="H29" i="17"/>
  <c r="H30" i="17"/>
  <c r="H31" i="17"/>
  <c r="H32" i="17"/>
  <c r="H35" i="17"/>
  <c r="H36" i="17"/>
  <c r="H37" i="17"/>
  <c r="H38" i="17"/>
  <c r="H39" i="17"/>
  <c r="H40" i="17"/>
  <c r="H41" i="17"/>
  <c r="H42" i="17"/>
  <c r="H43" i="17"/>
  <c r="H44" i="17"/>
  <c r="H45" i="17"/>
  <c r="H46" i="17"/>
  <c r="H47" i="17"/>
  <c r="H48" i="17"/>
  <c r="H49" i="17"/>
  <c r="H50" i="17"/>
  <c r="H51" i="17"/>
  <c r="H52" i="17"/>
  <c r="H53" i="17"/>
  <c r="H54"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4" i="17"/>
  <c r="H185" i="17"/>
  <c r="H186" i="17"/>
  <c r="H187" i="17"/>
  <c r="H188" i="17"/>
  <c r="H189" i="17"/>
  <c r="H190" i="17"/>
  <c r="H191" i="17"/>
  <c r="H192" i="17"/>
  <c r="H193" i="17"/>
  <c r="H194" i="17"/>
  <c r="H195" i="17"/>
  <c r="H196" i="17"/>
  <c r="H197" i="17"/>
  <c r="H198" i="17"/>
  <c r="H203" i="17"/>
  <c r="H204" i="17"/>
  <c r="H205" i="17"/>
  <c r="H206" i="17"/>
  <c r="H207" i="17"/>
  <c r="H208" i="17"/>
  <c r="H209" i="17"/>
  <c r="H210" i="17"/>
  <c r="H211" i="17"/>
  <c r="H212" i="17"/>
  <c r="H213" i="17"/>
  <c r="H214" i="17"/>
  <c r="H215" i="17"/>
  <c r="H216" i="17"/>
  <c r="H217" i="17"/>
  <c r="H218" i="17"/>
  <c r="H219" i="17"/>
  <c r="H220" i="17"/>
  <c r="H221"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3" i="17"/>
  <c r="H324" i="17"/>
  <c r="H325" i="17"/>
  <c r="H326" i="17"/>
  <c r="H327" i="17"/>
  <c r="H328" i="17"/>
  <c r="H329" i="17"/>
  <c r="H330" i="17"/>
  <c r="H331" i="17"/>
  <c r="H332" i="17"/>
  <c r="H333" i="17"/>
  <c r="H334" i="17"/>
  <c r="H335" i="17"/>
  <c r="H336" i="17"/>
  <c r="H337" i="17"/>
  <c r="H338" i="17"/>
  <c r="H339" i="17"/>
  <c r="H340" i="17"/>
  <c r="H341" i="17"/>
  <c r="H342" i="17"/>
  <c r="H343" i="17"/>
  <c r="H345" i="17"/>
  <c r="H346" i="17"/>
  <c r="H347" i="17"/>
  <c r="H348" i="17"/>
  <c r="H349" i="17"/>
  <c r="H350" i="17"/>
  <c r="H351" i="17"/>
  <c r="H352" i="17"/>
  <c r="H353" i="17"/>
  <c r="H354" i="17"/>
  <c r="H355" i="17"/>
  <c r="H356" i="17"/>
  <c r="H357" i="17"/>
  <c r="H358" i="17"/>
  <c r="H359" i="17"/>
  <c r="H360" i="17"/>
  <c r="H361" i="17"/>
  <c r="H362"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3" i="17"/>
  <c r="H484" i="17"/>
  <c r="H485" i="17"/>
  <c r="H486" i="17"/>
  <c r="H487" i="17"/>
  <c r="H488" i="17"/>
  <c r="H489" i="17"/>
  <c r="H490" i="17"/>
  <c r="H491" i="17"/>
  <c r="H492" i="17"/>
  <c r="H493" i="17"/>
  <c r="H494" i="17"/>
  <c r="H495" i="17"/>
  <c r="H496" i="17"/>
  <c r="H497" i="17"/>
  <c r="H498" i="17"/>
  <c r="H499" i="17"/>
  <c r="H500" i="17"/>
  <c r="H501" i="17"/>
  <c r="H502" i="17"/>
  <c r="H503" i="17"/>
  <c r="H507" i="17"/>
  <c r="H508" i="17"/>
  <c r="H509" i="17"/>
  <c r="H510" i="17"/>
  <c r="H511" i="17"/>
  <c r="H512" i="17"/>
  <c r="H513" i="17"/>
  <c r="H514" i="17"/>
  <c r="H515" i="17"/>
  <c r="H516" i="17"/>
  <c r="H517" i="17"/>
  <c r="H518" i="17"/>
  <c r="H519" i="17"/>
  <c r="H520" i="17"/>
  <c r="H521" i="17"/>
  <c r="H522"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5" i="17"/>
  <c r="H816" i="17"/>
  <c r="H817" i="17"/>
  <c r="H818" i="17"/>
  <c r="H819" i="17"/>
  <c r="H820" i="17"/>
  <c r="H821" i="17"/>
  <c r="H822" i="17"/>
  <c r="H823" i="17"/>
  <c r="H824" i="17"/>
  <c r="H825" i="17"/>
  <c r="H826" i="17"/>
  <c r="H827" i="17"/>
  <c r="H828" i="17"/>
  <c r="H829" i="17"/>
  <c r="H830" i="17"/>
  <c r="H831" i="17"/>
  <c r="H832" i="17"/>
  <c r="H834" i="17"/>
  <c r="H835" i="17"/>
  <c r="H836" i="17"/>
  <c r="H837" i="17"/>
  <c r="H838" i="17"/>
  <c r="H839" i="17"/>
  <c r="H840" i="17"/>
  <c r="H841" i="17"/>
  <c r="H842" i="17"/>
  <c r="H843" i="17"/>
  <c r="H844" i="17"/>
  <c r="H845" i="17"/>
  <c r="H846" i="17"/>
  <c r="H847" i="17"/>
  <c r="H848" i="17"/>
  <c r="H849" i="17"/>
  <c r="H850" i="17"/>
  <c r="H851"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1" i="17"/>
  <c r="H922" i="17"/>
  <c r="H923" i="17"/>
  <c r="H924" i="17"/>
  <c r="H925" i="17"/>
  <c r="H926" i="17"/>
  <c r="H927" i="17"/>
  <c r="H928" i="17"/>
  <c r="H929" i="17"/>
  <c r="H930" i="17"/>
  <c r="H931" i="17"/>
  <c r="H932" i="17"/>
  <c r="H933" i="17"/>
  <c r="H934" i="17"/>
  <c r="H935" i="17"/>
  <c r="H936" i="17"/>
  <c r="H937" i="17"/>
  <c r="H938" i="17"/>
  <c r="H940" i="17"/>
  <c r="H941" i="17"/>
  <c r="H942" i="17"/>
  <c r="H943" i="17"/>
  <c r="H944" i="17"/>
  <c r="H945" i="17"/>
  <c r="H946" i="17"/>
  <c r="H947" i="17"/>
  <c r="H948" i="17"/>
  <c r="H949" i="17"/>
  <c r="H950" i="17"/>
  <c r="H951" i="17"/>
  <c r="H952" i="17"/>
  <c r="H953" i="17"/>
  <c r="H954" i="17"/>
  <c r="H955" i="17"/>
  <c r="H956" i="17"/>
  <c r="H957"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4" i="17"/>
  <c r="H995" i="17"/>
  <c r="H996" i="17"/>
  <c r="H997" i="17"/>
  <c r="H998" i="17"/>
  <c r="H999" i="17"/>
  <c r="H1000" i="17"/>
  <c r="H1001" i="17"/>
  <c r="H2" i="17"/>
  <c r="G4" i="17"/>
  <c r="G5" i="17"/>
  <c r="G8" i="17"/>
  <c r="G9" i="17"/>
  <c r="G10" i="17"/>
  <c r="G11" i="17"/>
  <c r="G12" i="17"/>
  <c r="G13" i="17"/>
  <c r="G14" i="17"/>
  <c r="G15" i="17"/>
  <c r="G16" i="17"/>
  <c r="G17" i="17"/>
  <c r="G18" i="17"/>
  <c r="G19" i="17"/>
  <c r="G20" i="17"/>
  <c r="G21" i="17"/>
  <c r="G23" i="17"/>
  <c r="G24" i="17"/>
  <c r="G25" i="17"/>
  <c r="G26" i="17"/>
  <c r="G27" i="17"/>
  <c r="G28" i="17"/>
  <c r="G29" i="17"/>
  <c r="G30" i="17"/>
  <c r="G31" i="17"/>
  <c r="G32" i="17"/>
  <c r="G35" i="17"/>
  <c r="G36" i="17"/>
  <c r="G37" i="17"/>
  <c r="G38" i="17"/>
  <c r="G39" i="17"/>
  <c r="G40" i="17"/>
  <c r="G41" i="17"/>
  <c r="G42" i="17"/>
  <c r="G43" i="17"/>
  <c r="G44" i="17"/>
  <c r="G45" i="17"/>
  <c r="G46" i="17"/>
  <c r="G47" i="17"/>
  <c r="G48" i="17"/>
  <c r="G49" i="17"/>
  <c r="G50" i="17"/>
  <c r="G51" i="17"/>
  <c r="G52" i="17"/>
  <c r="G53" i="17"/>
  <c r="G54"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4" i="17"/>
  <c r="G185" i="17"/>
  <c r="G186" i="17"/>
  <c r="G187" i="17"/>
  <c r="G188" i="17"/>
  <c r="G189" i="17"/>
  <c r="G190" i="17"/>
  <c r="G191" i="17"/>
  <c r="G192" i="17"/>
  <c r="G193" i="17"/>
  <c r="G194" i="17"/>
  <c r="G195" i="17"/>
  <c r="G196" i="17"/>
  <c r="G197" i="17"/>
  <c r="G198" i="17"/>
  <c r="G203" i="17"/>
  <c r="G204" i="17"/>
  <c r="G205" i="17"/>
  <c r="G206" i="17"/>
  <c r="G207" i="17"/>
  <c r="G208" i="17"/>
  <c r="G209" i="17"/>
  <c r="G210" i="17"/>
  <c r="G211" i="17"/>
  <c r="G212" i="17"/>
  <c r="G213" i="17"/>
  <c r="G214" i="17"/>
  <c r="G215" i="17"/>
  <c r="G216" i="17"/>
  <c r="G217" i="17"/>
  <c r="G218" i="17"/>
  <c r="G219" i="17"/>
  <c r="G220" i="17"/>
  <c r="G221"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3" i="17"/>
  <c r="G324" i="17"/>
  <c r="G325" i="17"/>
  <c r="G326" i="17"/>
  <c r="G327" i="17"/>
  <c r="G328" i="17"/>
  <c r="G329" i="17"/>
  <c r="G330" i="17"/>
  <c r="G331" i="17"/>
  <c r="G332" i="17"/>
  <c r="G333" i="17"/>
  <c r="G334" i="17"/>
  <c r="G335" i="17"/>
  <c r="G336" i="17"/>
  <c r="G337" i="17"/>
  <c r="G338" i="17"/>
  <c r="G339" i="17"/>
  <c r="G340" i="17"/>
  <c r="G341" i="17"/>
  <c r="G342" i="17"/>
  <c r="G343" i="17"/>
  <c r="G345" i="17"/>
  <c r="G346" i="17"/>
  <c r="G347" i="17"/>
  <c r="G348" i="17"/>
  <c r="G349" i="17"/>
  <c r="G350" i="17"/>
  <c r="G351" i="17"/>
  <c r="G352" i="17"/>
  <c r="G353" i="17"/>
  <c r="G354" i="17"/>
  <c r="G355" i="17"/>
  <c r="G356" i="17"/>
  <c r="G357" i="17"/>
  <c r="G358" i="17"/>
  <c r="G359" i="17"/>
  <c r="G360" i="17"/>
  <c r="G361" i="17"/>
  <c r="G362"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3" i="17"/>
  <c r="G484" i="17"/>
  <c r="G485" i="17"/>
  <c r="G486" i="17"/>
  <c r="G487" i="17"/>
  <c r="G488" i="17"/>
  <c r="G489" i="17"/>
  <c r="G490" i="17"/>
  <c r="G491" i="17"/>
  <c r="G492" i="17"/>
  <c r="G493" i="17"/>
  <c r="G494" i="17"/>
  <c r="G495" i="17"/>
  <c r="G496" i="17"/>
  <c r="G497" i="17"/>
  <c r="G498" i="17"/>
  <c r="G499" i="17"/>
  <c r="G500" i="17"/>
  <c r="G501" i="17"/>
  <c r="G502" i="17"/>
  <c r="G503" i="17"/>
  <c r="G507" i="17"/>
  <c r="G508" i="17"/>
  <c r="G509" i="17"/>
  <c r="G510" i="17"/>
  <c r="G511" i="17"/>
  <c r="G512" i="17"/>
  <c r="G513" i="17"/>
  <c r="G514" i="17"/>
  <c r="G515" i="17"/>
  <c r="G516" i="17"/>
  <c r="G517" i="17"/>
  <c r="G518" i="17"/>
  <c r="G519" i="17"/>
  <c r="G520" i="17"/>
  <c r="G521" i="17"/>
  <c r="G522"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5" i="17"/>
  <c r="G816" i="17"/>
  <c r="G817" i="17"/>
  <c r="G818" i="17"/>
  <c r="G819" i="17"/>
  <c r="G820" i="17"/>
  <c r="G821" i="17"/>
  <c r="G822" i="17"/>
  <c r="G823" i="17"/>
  <c r="G824" i="17"/>
  <c r="G825" i="17"/>
  <c r="G826" i="17"/>
  <c r="G827" i="17"/>
  <c r="G828" i="17"/>
  <c r="G829" i="17"/>
  <c r="G830" i="17"/>
  <c r="G831" i="17"/>
  <c r="G832" i="17"/>
  <c r="G834" i="17"/>
  <c r="G835" i="17"/>
  <c r="G836" i="17"/>
  <c r="G837" i="17"/>
  <c r="G838" i="17"/>
  <c r="G839" i="17"/>
  <c r="G840" i="17"/>
  <c r="G841" i="17"/>
  <c r="G842" i="17"/>
  <c r="G843" i="17"/>
  <c r="G844" i="17"/>
  <c r="G845" i="17"/>
  <c r="G846" i="17"/>
  <c r="G847" i="17"/>
  <c r="G848" i="17"/>
  <c r="G849" i="17"/>
  <c r="G850" i="17"/>
  <c r="G851"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1" i="17"/>
  <c r="G922" i="17"/>
  <c r="G923" i="17"/>
  <c r="G924" i="17"/>
  <c r="G925" i="17"/>
  <c r="G926" i="17"/>
  <c r="G927" i="17"/>
  <c r="G928" i="17"/>
  <c r="G929" i="17"/>
  <c r="G930" i="17"/>
  <c r="G931" i="17"/>
  <c r="G932" i="17"/>
  <c r="G933" i="17"/>
  <c r="G934" i="17"/>
  <c r="G935" i="17"/>
  <c r="G936" i="17"/>
  <c r="G937" i="17"/>
  <c r="G938" i="17"/>
  <c r="G940" i="17"/>
  <c r="G941" i="17"/>
  <c r="G942" i="17"/>
  <c r="G943" i="17"/>
  <c r="G944" i="17"/>
  <c r="G945" i="17"/>
  <c r="G946" i="17"/>
  <c r="G947" i="17"/>
  <c r="G948" i="17"/>
  <c r="G949" i="17"/>
  <c r="G950" i="17"/>
  <c r="G951" i="17"/>
  <c r="G952" i="17"/>
  <c r="G953" i="17"/>
  <c r="G954" i="17"/>
  <c r="G955" i="17"/>
  <c r="G956" i="17"/>
  <c r="G957"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4" i="17"/>
  <c r="G995" i="17"/>
  <c r="G996" i="17"/>
  <c r="G997" i="17"/>
  <c r="G998" i="17"/>
  <c r="G999" i="17"/>
  <c r="G1000" i="17"/>
  <c r="G1001" i="17"/>
  <c r="G2" i="17"/>
  <c r="F4" i="17"/>
  <c r="F5" i="17"/>
  <c r="F7" i="17"/>
  <c r="F8" i="17"/>
  <c r="F9" i="17"/>
  <c r="F10" i="17"/>
  <c r="F11" i="17"/>
  <c r="F12" i="17"/>
  <c r="F13" i="17"/>
  <c r="F14" i="17"/>
  <c r="F15" i="17"/>
  <c r="F16" i="17"/>
  <c r="F17" i="17"/>
  <c r="F18" i="17"/>
  <c r="F19" i="17"/>
  <c r="F20" i="17"/>
  <c r="F21" i="17"/>
  <c r="F23" i="17"/>
  <c r="F24" i="17"/>
  <c r="F25" i="17"/>
  <c r="F26" i="17"/>
  <c r="F27" i="17"/>
  <c r="F28" i="17"/>
  <c r="F29" i="17"/>
  <c r="F30" i="17"/>
  <c r="F31" i="17"/>
  <c r="F32" i="17"/>
  <c r="F35" i="17"/>
  <c r="F36" i="17"/>
  <c r="F37" i="17"/>
  <c r="F38" i="17"/>
  <c r="F39" i="17"/>
  <c r="F40" i="17"/>
  <c r="F41" i="17"/>
  <c r="F42" i="17"/>
  <c r="F43" i="17"/>
  <c r="F44" i="17"/>
  <c r="F45" i="17"/>
  <c r="F46" i="17"/>
  <c r="F47" i="17"/>
  <c r="F48" i="17"/>
  <c r="F49" i="17"/>
  <c r="F50" i="17"/>
  <c r="F51" i="17"/>
  <c r="F52" i="17"/>
  <c r="F53" i="17"/>
  <c r="F54"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4" i="17"/>
  <c r="F185" i="17"/>
  <c r="F186" i="17"/>
  <c r="F187" i="17"/>
  <c r="F188" i="17"/>
  <c r="F189" i="17"/>
  <c r="F190" i="17"/>
  <c r="F191" i="17"/>
  <c r="F192" i="17"/>
  <c r="F193" i="17"/>
  <c r="F194" i="17"/>
  <c r="F195" i="17"/>
  <c r="F196" i="17"/>
  <c r="F197" i="17"/>
  <c r="F198" i="17"/>
  <c r="F203" i="17"/>
  <c r="F204" i="17"/>
  <c r="F205" i="17"/>
  <c r="F206" i="17"/>
  <c r="F207" i="17"/>
  <c r="F208" i="17"/>
  <c r="F209" i="17"/>
  <c r="F210" i="17"/>
  <c r="F211" i="17"/>
  <c r="F212" i="17"/>
  <c r="F213" i="17"/>
  <c r="F214" i="17"/>
  <c r="F215" i="17"/>
  <c r="F216" i="17"/>
  <c r="F217" i="17"/>
  <c r="F218" i="17"/>
  <c r="F219" i="17"/>
  <c r="F220" i="17"/>
  <c r="F221"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3" i="17"/>
  <c r="F324" i="17"/>
  <c r="F325" i="17"/>
  <c r="F326" i="17"/>
  <c r="F327" i="17"/>
  <c r="F328" i="17"/>
  <c r="F329" i="17"/>
  <c r="F330" i="17"/>
  <c r="F331" i="17"/>
  <c r="F332" i="17"/>
  <c r="F333" i="17"/>
  <c r="F334" i="17"/>
  <c r="F335" i="17"/>
  <c r="F336" i="17"/>
  <c r="F337" i="17"/>
  <c r="F338" i="17"/>
  <c r="F339" i="17"/>
  <c r="F340" i="17"/>
  <c r="F341" i="17"/>
  <c r="F342" i="17"/>
  <c r="F343" i="17"/>
  <c r="F345" i="17"/>
  <c r="F346" i="17"/>
  <c r="F347" i="17"/>
  <c r="F348" i="17"/>
  <c r="F349" i="17"/>
  <c r="F350" i="17"/>
  <c r="F351" i="17"/>
  <c r="F352" i="17"/>
  <c r="F353" i="17"/>
  <c r="F354" i="17"/>
  <c r="F355" i="17"/>
  <c r="F356" i="17"/>
  <c r="F357" i="17"/>
  <c r="F358" i="17"/>
  <c r="F359" i="17"/>
  <c r="F360" i="17"/>
  <c r="F361" i="17"/>
  <c r="F362"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3" i="17"/>
  <c r="F484" i="17"/>
  <c r="F485" i="17"/>
  <c r="F486" i="17"/>
  <c r="F487" i="17"/>
  <c r="F488" i="17"/>
  <c r="F489" i="17"/>
  <c r="F490" i="17"/>
  <c r="F491" i="17"/>
  <c r="F492" i="17"/>
  <c r="F493" i="17"/>
  <c r="F494" i="17"/>
  <c r="F495" i="17"/>
  <c r="F496" i="17"/>
  <c r="F497" i="17"/>
  <c r="F498" i="17"/>
  <c r="F499" i="17"/>
  <c r="F500" i="17"/>
  <c r="F501" i="17"/>
  <c r="F502" i="17"/>
  <c r="F503" i="17"/>
  <c r="F507" i="17"/>
  <c r="F508" i="17"/>
  <c r="F509" i="17"/>
  <c r="F510" i="17"/>
  <c r="F511" i="17"/>
  <c r="F512" i="17"/>
  <c r="F513" i="17"/>
  <c r="F514" i="17"/>
  <c r="F515" i="17"/>
  <c r="F516" i="17"/>
  <c r="F517" i="17"/>
  <c r="F518" i="17"/>
  <c r="F519" i="17"/>
  <c r="F520" i="17"/>
  <c r="F521" i="17"/>
  <c r="F522"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5" i="17"/>
  <c r="F816" i="17"/>
  <c r="F817" i="17"/>
  <c r="F818" i="17"/>
  <c r="F819" i="17"/>
  <c r="F820" i="17"/>
  <c r="F821" i="17"/>
  <c r="F822" i="17"/>
  <c r="F823" i="17"/>
  <c r="F824" i="17"/>
  <c r="F825" i="17"/>
  <c r="F826" i="17"/>
  <c r="F827" i="17"/>
  <c r="F828" i="17"/>
  <c r="F829" i="17"/>
  <c r="F830" i="17"/>
  <c r="F831" i="17"/>
  <c r="F832" i="17"/>
  <c r="F834" i="17"/>
  <c r="F835" i="17"/>
  <c r="F836" i="17"/>
  <c r="F837" i="17"/>
  <c r="F838" i="17"/>
  <c r="F839" i="17"/>
  <c r="F840" i="17"/>
  <c r="F841" i="17"/>
  <c r="F842" i="17"/>
  <c r="F843" i="17"/>
  <c r="F844" i="17"/>
  <c r="F845" i="17"/>
  <c r="F846" i="17"/>
  <c r="F847" i="17"/>
  <c r="F848" i="17"/>
  <c r="F849" i="17"/>
  <c r="F850" i="17"/>
  <c r="F851"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1" i="17"/>
  <c r="F922" i="17"/>
  <c r="F923" i="17"/>
  <c r="F924" i="17"/>
  <c r="F925" i="17"/>
  <c r="F926" i="17"/>
  <c r="F927" i="17"/>
  <c r="F928" i="17"/>
  <c r="F929" i="17"/>
  <c r="F930" i="17"/>
  <c r="F931" i="17"/>
  <c r="F932" i="17"/>
  <c r="F933" i="17"/>
  <c r="F934" i="17"/>
  <c r="F935" i="17"/>
  <c r="F936" i="17"/>
  <c r="F937" i="17"/>
  <c r="F938" i="17"/>
  <c r="F940" i="17"/>
  <c r="F941" i="17"/>
  <c r="F942" i="17"/>
  <c r="F943" i="17"/>
  <c r="F944" i="17"/>
  <c r="F945" i="17"/>
  <c r="F946" i="17"/>
  <c r="F947" i="17"/>
  <c r="F948" i="17"/>
  <c r="F949" i="17"/>
  <c r="F950" i="17"/>
  <c r="F951" i="17"/>
  <c r="F952" i="17"/>
  <c r="F953" i="17"/>
  <c r="F954" i="17"/>
  <c r="F955" i="17"/>
  <c r="F956" i="17"/>
  <c r="F957"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<sst xmlns="http://schemas.openxmlformats.org/spreadsheetml/2006/main" count="11128" uniqueCount="6221">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</sst>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409]#,##0.00"/>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cellXfs>
  <cellStyles count="1">
    <cellStyle name="Normal" xfId="0" builtinId="0"/>
  </cellStyles>
  <dxfs count="16">
    <dxf>
      <font>
        <color theme="0"/>
      </font>
      <fill>
        <patternFill>
          <bgColor rgb="FFC2410C"/>
        </patternFill>
      </fill>
    </dxf>
    <dxf>
      <fill>
        <patternFill>
          <bgColor rgb="FFFFF7ED"/>
        </patternFill>
      </fill>
    </dxf>
    <dxf>
      <numFmt numFmtId="0" formatCode="General"/>
    </dxf>
    <dxf>
      <font>
        <sz val="11"/>
        <color rgb="FFFFFFFF"/>
        <name val="Calibri"/>
        <family val="2"/>
        <scheme val="minor"/>
      </font>
      <fill>
        <patternFill>
          <bgColor rgb="FFC2410C"/>
        </patternFill>
      </fill>
    </dxf>
    <dxf>
      <fill>
        <patternFill patternType="solid">
          <fgColor theme="0"/>
          <bgColor rgb="FFFFF7ED"/>
        </patternFill>
      </fill>
      <border>
        <left style="thin">
          <color theme="1" tint="-0.499984740745262"/>
        </left>
        <right style="thin">
          <color theme="1" tint="-0.499984740745262"/>
        </right>
        <top style="thin">
          <color theme="1" tint="-0.499984740745262"/>
        </top>
        <bottom style="thin">
          <color theme="1" tint="-0.499984740745262"/>
        </bottom>
      </border>
    </dxf>
    <dxf>
      <numFmt numFmtId="167" formatCode="[$$-409]#,##0.00"/>
    </dxf>
    <dxf>
      <numFmt numFmtId="167" formatCode="[$$-409]#,##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Orange Slicer New" pivot="0" table="0" count="8" xr9:uid="{32AC6738-09ED-4F38-9CB0-DBB16E4659E7}">
      <tableStyleElement type="wholeTable" dxfId="1"/>
      <tableStyleElement type="headerRow" dxfId="0"/>
    </tableStyle>
    <tableStyle name="Orange TimeLine Style" pivot="0" table="0" count="9" xr9:uid="{4B83B403-E9F1-4B55-AA67-0AFE21789FF3}">
      <tableStyleElement type="wholeTable" dxfId="4"/>
      <tableStyleElement type="headerRow" dxfId="3"/>
    </tableStyle>
  </tableStyles>
  <colors>
    <mruColors>
      <color rgb="FFFFF4EB"/>
      <color rgb="FFFDBA83"/>
      <color rgb="FFA84604"/>
      <color rgb="FFFCB280"/>
      <color rgb="FFFB9753"/>
      <color rgb="FFFB9C5B"/>
      <color rgb="FFE5E7EB"/>
      <color rgb="FFBDB90B"/>
      <color rgb="FFF4F442"/>
      <color rgb="FFFDBA74"/>
    </mruColors>
  </colors>
  <extLst>
    <ext xmlns:x14="http://schemas.microsoft.com/office/spreadsheetml/2009/9/main" uri="{46F421CA-312F-682f-3DD2-61675219B42D}">
      <x14:dxfs count="6">
        <dxf>
          <font>
            <color rgb="FF9CA3AF"/>
          </font>
          <fill>
            <patternFill>
              <bgColor rgb="FFF3F4F6"/>
            </patternFill>
          </fill>
        </dxf>
        <dxf>
          <font>
            <color rgb="FF7F1D1D"/>
          </font>
          <fill>
            <patternFill>
              <bgColor rgb="FFFECACA"/>
            </patternFill>
          </fill>
        </dxf>
        <dxf>
          <fill>
            <patternFill>
              <bgColor rgb="FFFB923C"/>
            </patternFill>
          </fill>
        </dxf>
        <dxf>
          <fill>
            <patternFill>
              <bgColor rgb="FFFB923C"/>
            </patternFill>
          </fill>
        </dxf>
        <dxf>
          <font>
            <color rgb="FF1F2937"/>
          </font>
          <fill>
            <patternFill>
              <bgColor rgb="FFFED7AA"/>
            </patternFill>
          </fill>
        </dxf>
        <dxf>
          <font>
            <color theme="0"/>
          </font>
          <fill>
            <patternFill>
              <bgColor rgb="FFF97316"/>
            </patternFill>
          </fill>
        </dxf>
      </x14:dxfs>
    </ext>
    <ext xmlns:x14="http://schemas.microsoft.com/office/spreadsheetml/2009/9/main" uri="{EB79DEF2-80B8-43e5-95BD-54CBDDF9020C}">
      <x14:slicerStyles defaultSlicerStyle="Orange Slicer New">
        <x14:slicerStyle name="Orange Slicer New">
          <x14:slicerStyleElements>
            <x14:slicerStyleElement type="unselectedItemWithData" dxfId="4"/>
            <x14:slicerStyleElement type="unselectedItemWithNoData" dxfId="0"/>
            <x14:slicerStyleElement type="selectedItemWithData" dxfId="5"/>
            <x14:slicerStyleElement type="selectedItemWithNoData" dxfId="1"/>
            <x14:slicerStyleElement type="hoveredUnselectedItemWithData" dxfId="2"/>
            <x14:slicerStyleElement type="hoveredSelectedItemWithData" dxfId="3"/>
          </x14:slicerStyleElements>
        </x14:slicerStyle>
      </x14:slicerStyles>
    </ext>
    <ext xmlns:x15="http://schemas.microsoft.com/office/spreadsheetml/2010/11/main" uri="{A0A4C193-F2C1-4fcb-8827-314CF55A85BB}">
      <x15:dxfs count="7">
        <dxf>
          <fill>
            <patternFill>
              <bgColor rgb="FFFFF7ED"/>
            </patternFill>
          </fill>
        </dxf>
        <dxf>
          <fill>
            <patternFill patternType="solid">
              <fgColor theme="0" tint="-0.14996795556505021"/>
              <bgColor rgb="FFFED7AA"/>
            </patternFill>
          </fill>
        </dxf>
        <dxf>
          <fill>
            <gradientFill degree="90">
              <stop position="0">
                <color rgb="FFFB923C"/>
              </stop>
              <stop position="1">
                <color rgb="FFEA580C"/>
              </stop>
            </gradientFill>
          </fill>
        </dxf>
        <dxf>
          <font>
            <sz val="9"/>
            <color rgb="FF9A3412"/>
            <name val="Calibri"/>
            <family val="2"/>
            <scheme val="minor"/>
          </font>
        </dxf>
        <dxf>
          <font>
            <sz val="9"/>
            <color rgb="FF1F2937"/>
            <name val="Calibri"/>
            <family val="2"/>
            <scheme val="minor"/>
          </font>
        </dxf>
        <dxf>
          <font>
            <sz val="9"/>
            <color rgb="FF6B7280"/>
            <name val="Calibri"/>
            <family val="2"/>
            <scheme val="minor"/>
          </font>
        </dxf>
        <dxf>
          <font>
            <sz val="10"/>
            <color rgb="FFF97316"/>
            <name val="Calibri"/>
            <family val="2"/>
            <scheme val="minor"/>
          </font>
        </dxf>
      </x15:dxfs>
    </ext>
    <ext xmlns:x15="http://schemas.microsoft.com/office/spreadsheetml/2010/11/main" uri="{9260A510-F301-46a8-8635-F512D64BE5F5}">
      <x15:timelineStyles defaultTimelineStyle="Orange TimeLine Style">
        <x15:timelineStyle name="Orang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9"/>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150"/>
        </a:p>
      </c:txPr>
    </c:title>
    <c:autoTitleDeleted val="0"/>
    <c:pivotFmts>
      <c:pivotFmt>
        <c:idx val="0"/>
        <c:spPr>
          <a:solidFill>
            <a:schemeClr val="accent1"/>
          </a:solidFill>
          <a:ln w="28575" cap="rnd">
            <a:solidFill>
              <a:srgbClr val="BDB9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973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BDB9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973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BDB90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973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BDB90B"/>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[$$-409]#,##0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D74-463A-A83E-5D96F1976739}"/>
            </c:ext>
          </c:extLst>
        </c:ser>
        <c:ser>
          <c:idx val="1"/>
          <c:order val="1"/>
          <c:tx>
            <c:strRef>
              <c:f>TotalSales!$D$3:$D$4</c:f>
              <c:strCache>
                <c:ptCount val="1"/>
                <c:pt idx="0">
                  <c:v>Excelsa</c:v>
                </c:pt>
              </c:strCache>
            </c:strRef>
          </c:tx>
          <c:spPr>
            <a:ln w="28575" cap="rnd">
              <a:solidFill>
                <a:srgbClr val="7030A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[$$-409]#,##0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D74-463A-A83E-5D96F1976739}"/>
            </c:ext>
          </c:extLst>
        </c:ser>
        <c:ser>
          <c:idx val="2"/>
          <c:order val="2"/>
          <c:tx>
            <c:strRef>
              <c:f>TotalSales!$E$3:$E$4</c:f>
              <c:strCache>
                <c:ptCount val="1"/>
                <c:pt idx="0">
                  <c:v>Liberica</c:v>
                </c:pt>
              </c:strCache>
            </c:strRef>
          </c:tx>
          <c:spPr>
            <a:ln w="28575" cap="rnd">
              <a:solidFill>
                <a:srgbClr val="F9731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[$$-409]#,##0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D74-463A-A83E-5D96F1976739}"/>
            </c:ext>
          </c:extLst>
        </c:ser>
        <c:ser>
          <c:idx val="3"/>
          <c:order val="3"/>
          <c:tx>
            <c:strRef>
              <c:f>TotalSales!$F$3:$F$4</c:f>
              <c:strCache>
                <c:ptCount val="1"/>
                <c:pt idx="0">
                  <c:v>Robusta</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[$$-409]#,##0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D74-463A-A83E-5D96F1976739}"/>
            </c:ext>
          </c:extLst>
        </c:ser>
        <c:dLbls>
          <c:showLegendKey val="0"/>
          <c:showVal val="0"/>
          <c:showCatName val="0"/>
          <c:showSerName val="0"/>
          <c:showPercent val="0"/>
          <c:showBubbleSize val="0"/>
        </c:dLbls>
        <c:smooth val="0"/>
        <c:axId val="853861519"/>
        <c:axId val="699152095"/>
      </c:lineChart>
      <c:catAx>
        <c:axId val="85386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crossAx val="699152095"/>
        <c:crosses val="autoZero"/>
        <c:auto val="1"/>
        <c:lblAlgn val="ctr"/>
        <c:lblOffset val="100"/>
        <c:noMultiLvlLbl val="0"/>
      </c:catAx>
      <c:valAx>
        <c:axId val="699152095"/>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lumMod val="50000"/>
                    </a:schemeClr>
                  </a:solidFill>
                  <a:latin typeface="+mn-lt"/>
                  <a:ea typeface="+mn-ea"/>
                  <a:cs typeface="+mn-cs"/>
                </a:defRPr>
              </a:pPr>
              <a:endParaRPr lang="en-150"/>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crossAx val="85386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7ED"/>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3"/>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150"/>
        </a:p>
      </c:txPr>
    </c:title>
    <c:autoTitleDeleted val="0"/>
    <c:pivotFmts>
      <c:pivotFmt>
        <c:idx val="0"/>
        <c:spPr>
          <a:solidFill>
            <a:srgbClr val="F97316"/>
          </a:solidFill>
          <a:ln>
            <a:solidFill>
              <a:srgbClr val="C2410C"/>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97316"/>
          </a:solidFill>
          <a:ln>
            <a:solidFill>
              <a:srgbClr val="C2410C"/>
            </a:solidFill>
          </a:ln>
          <a:effectLst/>
        </c:spPr>
      </c:pivotFmt>
      <c:pivotFmt>
        <c:idx val="2"/>
        <c:spPr>
          <a:solidFill>
            <a:srgbClr val="F97316"/>
          </a:solidFill>
          <a:ln>
            <a:solidFill>
              <a:srgbClr val="C2410C"/>
            </a:solidFill>
          </a:ln>
          <a:effectLst/>
        </c:spPr>
      </c:pivotFmt>
      <c:pivotFmt>
        <c:idx val="3"/>
        <c:spPr>
          <a:solidFill>
            <a:srgbClr val="F97316"/>
          </a:solidFill>
          <a:ln>
            <a:solidFill>
              <a:srgbClr val="C2410C"/>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97316"/>
          </a:solidFill>
          <a:ln>
            <a:solidFill>
              <a:srgbClr val="C2410C"/>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rgbClr val="F97316"/>
            </a:solidFill>
            <a:ln>
              <a:solidFill>
                <a:srgbClr val="C2410C"/>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2ED-4322-AE32-5D1B880FE9FC}"/>
            </c:ext>
          </c:extLst>
        </c:ser>
        <c:dLbls>
          <c:dLblPos val="outEnd"/>
          <c:showLegendKey val="0"/>
          <c:showVal val="1"/>
          <c:showCatName val="0"/>
          <c:showSerName val="0"/>
          <c:showPercent val="0"/>
          <c:showBubbleSize val="0"/>
        </c:dLbls>
        <c:gapWidth val="182"/>
        <c:axId val="167164752"/>
        <c:axId val="2062272447"/>
      </c:barChart>
      <c:catAx>
        <c:axId val="16716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crossAx val="2062272447"/>
        <c:crosses val="autoZero"/>
        <c:auto val="1"/>
        <c:lblAlgn val="ctr"/>
        <c:lblOffset val="100"/>
        <c:noMultiLvlLbl val="0"/>
      </c:catAx>
      <c:valAx>
        <c:axId val="2062272447"/>
        <c:scaling>
          <c:orientation val="minMax"/>
        </c:scaling>
        <c:delete val="0"/>
        <c:axPos val="b"/>
        <c:majorGridlines>
          <c:spPr>
            <a:ln w="9525" cap="flat" cmpd="sng" algn="ctr">
              <a:solidFill>
                <a:srgbClr val="E5E7EB"/>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crossAx val="16716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7ED"/>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4"/>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150"/>
        </a:p>
      </c:txPr>
    </c:title>
    <c:autoTitleDeleted val="0"/>
    <c:pivotFmts>
      <c:pivotFmt>
        <c:idx val="0"/>
        <c:spPr>
          <a:solidFill>
            <a:srgbClr val="F97316"/>
          </a:solidFill>
          <a:ln>
            <a:solidFill>
              <a:srgbClr val="C2410C"/>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97316"/>
          </a:solidFill>
          <a:ln>
            <a:solidFill>
              <a:srgbClr val="C2410C"/>
            </a:solidFill>
          </a:ln>
          <a:effectLst/>
        </c:spPr>
      </c:pivotFmt>
      <c:pivotFmt>
        <c:idx val="2"/>
        <c:spPr>
          <a:solidFill>
            <a:srgbClr val="F97316"/>
          </a:solidFill>
          <a:ln>
            <a:solidFill>
              <a:srgbClr val="C2410C"/>
            </a:solidFill>
          </a:ln>
          <a:effectLst/>
        </c:spPr>
      </c:pivotFmt>
      <c:pivotFmt>
        <c:idx val="3"/>
        <c:spPr>
          <a:solidFill>
            <a:srgbClr val="F97316"/>
          </a:solidFill>
          <a:ln>
            <a:solidFill>
              <a:srgbClr val="C2410C"/>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97316"/>
          </a:solidFill>
          <a:ln>
            <a:solidFill>
              <a:srgbClr val="C2410C"/>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97316"/>
          </a:solidFill>
          <a:ln>
            <a:solidFill>
              <a:srgbClr val="C2410C"/>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F97316"/>
            </a:solidFill>
            <a:ln>
              <a:solidFill>
                <a:srgbClr val="C2410C"/>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E628-4A4C-9D81-9FF1F3F3C1E7}"/>
            </c:ext>
          </c:extLst>
        </c:ser>
        <c:dLbls>
          <c:dLblPos val="outEnd"/>
          <c:showLegendKey val="0"/>
          <c:showVal val="1"/>
          <c:showCatName val="0"/>
          <c:showSerName val="0"/>
          <c:showPercent val="0"/>
          <c:showBubbleSize val="0"/>
        </c:dLbls>
        <c:gapWidth val="182"/>
        <c:axId val="167164752"/>
        <c:axId val="2062272447"/>
      </c:barChart>
      <c:catAx>
        <c:axId val="16716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crossAx val="2062272447"/>
        <c:crosses val="autoZero"/>
        <c:auto val="1"/>
        <c:lblAlgn val="ctr"/>
        <c:lblOffset val="100"/>
        <c:noMultiLvlLbl val="0"/>
      </c:catAx>
      <c:valAx>
        <c:axId val="2062272447"/>
        <c:scaling>
          <c:orientation val="minMax"/>
        </c:scaling>
        <c:delete val="0"/>
        <c:axPos val="b"/>
        <c:majorGridlines>
          <c:spPr>
            <a:ln w="9525" cap="flat" cmpd="sng" algn="ctr">
              <a:solidFill>
                <a:srgbClr val="E5E7EB"/>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150"/>
          </a:p>
        </c:txPr>
        <c:crossAx val="16716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7ED"/>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119347</xdr:colOff>
      <xdr:row>1</xdr:row>
      <xdr:rowOff>0</xdr:rowOff>
    </xdr:from>
    <xdr:to>
      <xdr:col>28</xdr:col>
      <xdr:colOff>605926</xdr:colOff>
      <xdr:row>4</xdr:row>
      <xdr:rowOff>0</xdr:rowOff>
    </xdr:to>
    <xdr:sp macro="" textlink="">
      <xdr:nvSpPr>
        <xdr:cNvPr id="2" name="Rectangle: Rounded Corners 1">
          <a:extLst>
            <a:ext uri="{FF2B5EF4-FFF2-40B4-BE49-F238E27FC236}">
              <a16:creationId xmlns:a16="http://schemas.microsoft.com/office/drawing/2014/main" id="{1C99C398-5C29-7D9F-FC2F-9A53F9AA9159}"/>
            </a:ext>
          </a:extLst>
        </xdr:cNvPr>
        <xdr:cNvSpPr/>
      </xdr:nvSpPr>
      <xdr:spPr>
        <a:xfrm>
          <a:off x="119347" y="64265"/>
          <a:ext cx="16965977" cy="550843"/>
        </a:xfrm>
        <a:prstGeom prst="roundRect">
          <a:avLst/>
        </a:prstGeom>
        <a:gradFill flip="none" rotWithShape="1">
          <a:gsLst>
            <a:gs pos="0">
              <a:srgbClr val="A84604">
                <a:shade val="30000"/>
                <a:satMod val="115000"/>
              </a:srgbClr>
            </a:gs>
            <a:gs pos="50000">
              <a:srgbClr val="A84604">
                <a:shade val="67500"/>
                <a:satMod val="115000"/>
              </a:srgbClr>
            </a:gs>
            <a:gs pos="100000">
              <a:srgbClr val="A84604">
                <a:shade val="100000"/>
                <a:satMod val="115000"/>
              </a:srgb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rgbClr val="FFF4EB"/>
              </a:solidFill>
            </a:rPr>
            <a:t>COFFEE</a:t>
          </a:r>
          <a:r>
            <a:rPr lang="en-US" sz="3200" baseline="0">
              <a:solidFill>
                <a:srgbClr val="FFF4EB"/>
              </a:solidFill>
            </a:rPr>
            <a:t> SALES DASHBOARD</a:t>
          </a:r>
          <a:endParaRPr lang="en-150" sz="3200">
            <a:solidFill>
              <a:srgbClr val="FFF4EB"/>
            </a:solidFill>
          </a:endParaRPr>
        </a:p>
      </xdr:txBody>
    </xdr:sp>
    <xdr:clientData/>
  </xdr:twoCellAnchor>
  <xdr:twoCellAnchor>
    <xdr:from>
      <xdr:col>1</xdr:col>
      <xdr:colOff>1</xdr:colOff>
      <xdr:row>14</xdr:row>
      <xdr:rowOff>0</xdr:rowOff>
    </xdr:from>
    <xdr:to>
      <xdr:col>20</xdr:col>
      <xdr:colOff>449855</xdr:colOff>
      <xdr:row>42</xdr:row>
      <xdr:rowOff>0</xdr:rowOff>
    </xdr:to>
    <xdr:graphicFrame macro="">
      <xdr:nvGraphicFramePr>
        <xdr:cNvPr id="3" name="Chart 2">
          <a:extLst>
            <a:ext uri="{FF2B5EF4-FFF2-40B4-BE49-F238E27FC236}">
              <a16:creationId xmlns:a16="http://schemas.microsoft.com/office/drawing/2014/main" id="{3DB47B61-E915-4299-8A69-40306F83C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0</xdr:rowOff>
    </xdr:from>
    <xdr:to>
      <xdr:col>23</xdr:col>
      <xdr:colOff>0</xdr:colOff>
      <xdr:row>13</xdr:row>
      <xdr:rowOff>45903</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AEC29ECB-808B-47ED-9EED-C50A5D98C6E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7929" y="789214"/>
              <a:ext cx="13371285" cy="1497332"/>
            </a:xfrm>
            <a:prstGeom prst="rect">
              <a:avLst/>
            </a:prstGeom>
            <a:solidFill>
              <a:prstClr val="white"/>
            </a:solidFill>
            <a:ln w="1">
              <a:solidFill>
                <a:prstClr val="green"/>
              </a:solidFill>
            </a:ln>
          </xdr:spPr>
          <xdr:txBody>
            <a:bodyPr vertOverflow="clip" horzOverflow="clip"/>
            <a:lstStyle/>
            <a:p>
              <a:r>
                <a:rPr lang="en-150" sz="1100"/>
                <a:t>Timeline: Works in Excel 2013 or higher. Do not move or resize.</a:t>
              </a:r>
            </a:p>
          </xdr:txBody>
        </xdr:sp>
      </mc:Fallback>
    </mc:AlternateContent>
    <xdr:clientData/>
  </xdr:twoCellAnchor>
  <xdr:twoCellAnchor editAs="oneCell">
    <xdr:from>
      <xdr:col>26</xdr:col>
      <xdr:colOff>0</xdr:colOff>
      <xdr:row>9</xdr:row>
      <xdr:rowOff>0</xdr:rowOff>
    </xdr:from>
    <xdr:to>
      <xdr:col>29</xdr:col>
      <xdr:colOff>0</xdr:colOff>
      <xdr:row>14</xdr:row>
      <xdr:rowOff>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F6044203-9A87-47F8-A8C0-124D53B3157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5312571" y="1514929"/>
              <a:ext cx="1823358" cy="907142"/>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605927</xdr:colOff>
      <xdr:row>9</xdr:row>
      <xdr:rowOff>1</xdr:rowOff>
    </xdr:from>
    <xdr:to>
      <xdr:col>26</xdr:col>
      <xdr:colOff>0</xdr:colOff>
      <xdr:row>14</xdr:row>
      <xdr:rowOff>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9D21C6AA-AAF3-44A9-A6D6-7586689BCB2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487356" y="1514930"/>
              <a:ext cx="1825215" cy="907141"/>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0</xdr:colOff>
      <xdr:row>14</xdr:row>
      <xdr:rowOff>91807</xdr:rowOff>
    </xdr:from>
    <xdr:to>
      <xdr:col>29</xdr:col>
      <xdr:colOff>0</xdr:colOff>
      <xdr:row>29</xdr:row>
      <xdr:rowOff>0</xdr:rowOff>
    </xdr:to>
    <xdr:graphicFrame macro="">
      <xdr:nvGraphicFramePr>
        <xdr:cNvPr id="8" name="Chart 7">
          <a:extLst>
            <a:ext uri="{FF2B5EF4-FFF2-40B4-BE49-F238E27FC236}">
              <a16:creationId xmlns:a16="http://schemas.microsoft.com/office/drawing/2014/main" id="{E8D15B36-ABB4-4C7A-A190-18E01E3CB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605927</xdr:colOff>
      <xdr:row>29</xdr:row>
      <xdr:rowOff>64265</xdr:rowOff>
    </xdr:from>
    <xdr:to>
      <xdr:col>28</xdr:col>
      <xdr:colOff>605926</xdr:colOff>
      <xdr:row>41</xdr:row>
      <xdr:rowOff>183614</xdr:rowOff>
    </xdr:to>
    <xdr:graphicFrame macro="">
      <xdr:nvGraphicFramePr>
        <xdr:cNvPr id="9" name="Chart 8">
          <a:extLst>
            <a:ext uri="{FF2B5EF4-FFF2-40B4-BE49-F238E27FC236}">
              <a16:creationId xmlns:a16="http://schemas.microsoft.com/office/drawing/2014/main" id="{179B8484-18DD-4D59-ADCB-34FC36B36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0</xdr:colOff>
      <xdr:row>5</xdr:row>
      <xdr:rowOff>0</xdr:rowOff>
    </xdr:from>
    <xdr:to>
      <xdr:col>29</xdr:col>
      <xdr:colOff>1</xdr:colOff>
      <xdr:row>9</xdr:row>
      <xdr:rowOff>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72EA9B81-830F-4342-A0AB-5715C41D49E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3489214" y="789214"/>
              <a:ext cx="3646716" cy="72571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Hewidi" refreshedDate="46261.155779050925" createdVersion="8" refreshedVersion="8" minRefreshableVersion="3" recordCount="1000" xr:uid="{AE327BF7-26A8-48FF-AE3B-D8653BCC22CB}">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466670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A2CB43-C027-4282-93D0-026B043008A9}" name="Total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8">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 chart="5" format="3" series="1">
      <pivotArea type="data" outline="0" fieldPosition="0">
        <references count="2">
          <reference field="4294967294" count="1" selected="0">
            <x v="0"/>
          </reference>
          <reference field="13" count="1" selected="0">
            <x v="3"/>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2">
          <reference field="4294967294" count="1" selected="0">
            <x v="0"/>
          </reference>
          <reference field="13" count="1" selected="0">
            <x v="2"/>
          </reference>
        </references>
      </pivotArea>
    </chartFormat>
    <chartFormat chart="9"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88B74F-9A94-4E67-838F-A14DEDDAF1CA}" name="Total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1" numFmtId="168"/>
  </dataFields>
  <chartFormats count="4">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7" count="1" selected="0">
            <x v="2"/>
          </reference>
        </references>
      </pivotArea>
    </chartFormat>
    <chartFormat chart="11" format="2">
      <pivotArea type="data" outline="0" fieldPosition="0">
        <references count="2">
          <reference field="4294967294" count="1" selected="0">
            <x v="0"/>
          </reference>
          <reference field="7" count="1" selected="0">
            <x v="1"/>
          </reference>
        </references>
      </pivotArea>
    </chartFormat>
    <chartFormat chart="13"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3923BA-7B35-461A-ABDB-80FA0A427817}" name="TotalSales" cacheId="1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1" numFmtId="168"/>
  </dataFields>
  <chartFormats count="5">
    <chartFormat chart="8"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75A44E8-DAC0-4A03-84F5-5B4B13D621DE}" sourceName="Size">
  <pivotTables>
    <pivotTable tabId="18" name="TotalSales"/>
    <pivotTable tabId="19" name="TotalSales"/>
    <pivotTable tabId="20" name="TotalSales"/>
  </pivotTables>
  <data>
    <tabular pivotCacheId="46667049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19A3EA7-622F-4027-B226-6B85182407F7}" sourceName="Roast Type Name">
  <pivotTables>
    <pivotTable tabId="18" name="TotalSales"/>
    <pivotTable tabId="19" name="TotalSales"/>
    <pivotTable tabId="20" name="TotalSales"/>
  </pivotTables>
  <data>
    <tabular pivotCacheId="46667049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CB94E96-B0F7-4823-A0EC-0A76524590B4}" sourceName="Loyalty Card">
  <pivotTables>
    <pivotTable tabId="18" name="TotalSales"/>
    <pivotTable tabId="19" name="TotalSales"/>
    <pivotTable tabId="20" name="TotalSales"/>
  </pivotTables>
  <data>
    <tabular pivotCacheId="4666704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11DE3FE-97F2-4579-A8C7-0C778C1FC4FC}" cache="Slicer_Size" caption="Size" columnCount="2" rowHeight="234950"/>
  <slicer name="Roast Type Name" xr10:uid="{92A941DC-28AB-43E3-B353-FF7FC68B5CD8}" cache="Slicer_Roast_Type_Name" caption="Roast Type Name" columnCount="3" rowHeight="234950"/>
  <slicer name="Loyalty Card" xr10:uid="{C3B66AC4-1665-44D8-B429-57F82F7E981E}"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AFA3D6-4EC1-40F5-B20A-BB1599C2B24B}" name="Orders" displayName="Orders" ref="A1:P1001" totalsRowShown="0" headerRowDxfId="15">
  <autoFilter ref="A1:P1001" xr:uid="{D7AFA3D6-4EC1-40F5-B20A-BB1599C2B24B}"/>
  <tableColumns count="16">
    <tableColumn id="1" xr3:uid="{47010B20-29BC-4599-ACB6-A893B717672D}" name="Order ID" dataDxfId="14"/>
    <tableColumn id="2" xr3:uid="{2C700BA3-A24A-4BE2-A782-04CCE835C4F5}" name="Order Date" dataDxfId="13"/>
    <tableColumn id="3" xr3:uid="{5F5D9846-A66E-45D7-BAE0-3655BD340555}" name="Customer ID" dataDxfId="12"/>
    <tableColumn id="4" xr3:uid="{0D574AEE-B69E-4303-B227-01DBBC665195}" name="Product ID"/>
    <tableColumn id="5" xr3:uid="{83046D38-2195-4714-9DD4-C1C5EE618D70}" name="Quantity" dataDxfId="11"/>
    <tableColumn id="6" xr3:uid="{3CBAC8EE-60E9-4389-9AA0-125C19C6D547}" name="Customer Name" dataDxfId="10">
      <calculatedColumnFormula>_xlfn.XLOOKUP(C2,customers!$A$1:$A$1001,customers!$B$1:$B$1001,,0)</calculatedColumnFormula>
    </tableColumn>
    <tableColumn id="7" xr3:uid="{E0BC00BA-090E-473E-8A45-C327B96325F8}" name="Email" dataDxfId="9">
      <calculatedColumnFormula>IF(_xlfn.XLOOKUP(C2,customers!$A$1:$A$1001,customers!$C$1:$C$1001,,0)=0,"",_xlfn.XLOOKUP(C2,customers!$A$1:$A$1001,customers!$C$1:$C$1001,,0))</calculatedColumnFormula>
    </tableColumn>
    <tableColumn id="8" xr3:uid="{CFC4A1AA-AA10-4602-AEE5-DDC79CE7EA59}" name="Country" dataDxfId="8">
      <calculatedColumnFormula>_xlfn.XLOOKUP(C2,customers!$A$1:$A$1001,customers!$G$1:$G$1001,,0)</calculatedColumnFormula>
    </tableColumn>
    <tableColumn id="9" xr3:uid="{C035055C-45BB-4B2A-9815-DE89C74F286E}" name="Coffee Type">
      <calculatedColumnFormula>INDEX(products!$A$1:$G$49,MATCH(orders!$D2,products!$A$1:$A$49,0),MATCH(orders!I$1,products!$A$1:$G$1,0))</calculatedColumnFormula>
    </tableColumn>
    <tableColumn id="10" xr3:uid="{30EBB1BE-3055-4203-88B6-B7B4E8889E29}" name="Roast Type">
      <calculatedColumnFormula>INDEX(products!$A$1:$G$49,MATCH(orders!$D2,products!$A$1:$A$49,0),MATCH(orders!J$1,products!$A$1:$G$1,0))</calculatedColumnFormula>
    </tableColumn>
    <tableColumn id="11" xr3:uid="{E06F2601-186F-4C69-9BF0-461AFDA329ED}" name="Size" dataDxfId="7">
      <calculatedColumnFormula>INDEX(products!$A$1:$G$49,MATCH(orders!$D2,products!$A$1:$A$49,0),MATCH(orders!K$1,products!$A$1:$G$1,0))</calculatedColumnFormula>
    </tableColumn>
    <tableColumn id="12" xr3:uid="{AB0BDB14-6752-43D2-A484-52F6CC8B1930}" name="Unit Price" dataDxfId="6">
      <calculatedColumnFormula>INDEX(products!$A$1:$G$49,MATCH(orders!$D2,products!$A$1:$A$49,0),MATCH(orders!L$1,products!$A$1:$G$1,0))</calculatedColumnFormula>
    </tableColumn>
    <tableColumn id="13" xr3:uid="{3BD2EB42-2551-44AD-8523-C985E4113CC1}" name="Sales" dataDxfId="5">
      <calculatedColumnFormula>L2*E2</calculatedColumnFormula>
    </tableColumn>
    <tableColumn id="14" xr3:uid="{B5CC8221-976B-4A3F-AB1A-91A0156C6F99}" name="Coffee Type Name">
      <calculatedColumnFormula>IF(I2="Rob","Robusta",IF(I2="Exc","Excelsa",IF(I2="Ara","Arabica",IF(I2="Lib","Liberica",""))))</calculatedColumnFormula>
    </tableColumn>
    <tableColumn id="15" xr3:uid="{1D27FCEC-1EEA-476D-87E8-2B5D0F356A92}" name="Roast Type Name">
      <calculatedColumnFormula>IF(J2="M","Medium",IF(J2="L","Light",IF(J2="D","Dark","")))</calculatedColumnFormula>
    </tableColumn>
    <tableColumn id="16" xr3:uid="{92E8263C-B122-4297-912A-ECDFB322C953}" name="Loyalty Card" dataDxfId="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6B898EE-1060-4FE2-91AD-0D3EB2229E28}" sourceName="Order Date">
  <pivotTables>
    <pivotTable tabId="18" name="TotalSales"/>
    <pivotTable tabId="19" name="TotalSales"/>
    <pivotTable tabId="20" name="TotalSales"/>
  </pivotTables>
  <state minimalRefreshVersion="6" lastRefreshVersion="6" pivotCacheId="46667049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B022E8F-6AC4-4DA4-A84D-ECFEC3BF0021}" cache="NativeTimeline_Order_Date" caption="Order Date" level="2" selectionLevel="2" scrollPosition="2019-12-08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97C69-D9FD-42DE-9F5D-D344CBFAE174}">
  <dimension ref="A1"/>
  <sheetViews>
    <sheetView showGridLines="0" showRowColHeaders="0" tabSelected="1" zoomScale="84" zoomScaleNormal="90" workbookViewId="0">
      <selection activeCell="Z5" sqref="Z5"/>
    </sheetView>
  </sheetViews>
  <sheetFormatPr defaultRowHeight="14.4" x14ac:dyDescent="0.3"/>
  <cols>
    <col min="1" max="1" width="1.77734375" customWidth="1"/>
  </cols>
  <sheetData>
    <row r="1" customFormat="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0BDF-9A0C-486E-9DA9-1F2C2969A7E1}">
  <dimension ref="A3:F48"/>
  <sheetViews>
    <sheetView topLeftCell="C1" zoomScale="85" workbookViewId="0">
      <selection activeCell="L27" sqref="L27"/>
    </sheetView>
  </sheetViews>
  <sheetFormatPr defaultRowHeight="14.4" x14ac:dyDescent="0.3"/>
  <cols>
    <col min="1" max="1" width="12.33203125" bestFit="1" customWidth="1"/>
    <col min="2" max="2" width="22.44140625" bestFit="1" customWidth="1"/>
    <col min="3" max="3" width="19.88671875" bestFit="1" customWidth="1"/>
    <col min="4" max="4" width="7.21875" bestFit="1" customWidth="1"/>
    <col min="5" max="5" width="7.77734375" bestFit="1" customWidth="1"/>
    <col min="6" max="6" width="8.2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901B9-D0BF-4F7D-89AD-6F54772090EF}">
  <dimension ref="A3:B6"/>
  <sheetViews>
    <sheetView zoomScale="85" workbookViewId="0">
      <selection activeCell="T13" sqref="T13"/>
    </sheetView>
  </sheetViews>
  <sheetFormatPr defaultRowHeight="14.4" x14ac:dyDescent="0.3"/>
  <cols>
    <col min="1" max="1" width="14.44140625" bestFit="1" customWidth="1"/>
    <col min="2" max="2" width="12.109375" bestFit="1" customWidth="1"/>
    <col min="3" max="3" width="7.6640625" bestFit="1" customWidth="1"/>
    <col min="4" max="4" width="7.77734375" bestFit="1" customWidth="1"/>
    <col min="5" max="6" width="8.21875" bestFit="1" customWidth="1"/>
  </cols>
  <sheetData>
    <row r="3" spans="1:2" x14ac:dyDescent="0.3">
      <c r="A3" s="6" t="s">
        <v>7</v>
      </c>
      <c r="B3" t="s">
        <v>6220</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C32C-1837-46EB-93C3-53E871CCFF53}">
  <dimension ref="A3:B8"/>
  <sheetViews>
    <sheetView zoomScale="85" workbookViewId="0">
      <selection activeCell="R12" sqref="R12"/>
    </sheetView>
  </sheetViews>
  <sheetFormatPr defaultRowHeight="14.4" x14ac:dyDescent="0.3"/>
  <cols>
    <col min="1" max="1" width="17.88671875" bestFit="1" customWidth="1"/>
    <col min="2" max="2" width="12.109375" bestFit="1" customWidth="1"/>
    <col min="3" max="3" width="7.6640625" bestFit="1" customWidth="1"/>
    <col min="4" max="4" width="7.77734375" bestFit="1" customWidth="1"/>
    <col min="5" max="6" width="8.21875" bestFit="1" customWidth="1"/>
  </cols>
  <sheetData>
    <row r="3" spans="1:2" x14ac:dyDescent="0.3">
      <c r="A3" s="6" t="s">
        <v>4</v>
      </c>
      <c r="B3" t="s">
        <v>6220</v>
      </c>
    </row>
    <row r="4" spans="1:2" x14ac:dyDescent="0.3">
      <c r="A4" t="s">
        <v>3753</v>
      </c>
      <c r="B4" s="7">
        <v>278.01</v>
      </c>
    </row>
    <row r="5" spans="1:2" x14ac:dyDescent="0.3">
      <c r="A5" t="s">
        <v>1598</v>
      </c>
      <c r="B5" s="7">
        <v>281.67499999999995</v>
      </c>
    </row>
    <row r="6" spans="1:2" x14ac:dyDescent="0.3">
      <c r="A6" t="s">
        <v>2587</v>
      </c>
      <c r="B6" s="7">
        <v>289.11</v>
      </c>
    </row>
    <row r="7" spans="1:2" x14ac:dyDescent="0.3">
      <c r="A7" t="s">
        <v>5765</v>
      </c>
      <c r="B7" s="7">
        <v>307.04499999999996</v>
      </c>
    </row>
    <row r="8" spans="1:2" x14ac:dyDescent="0.3">
      <c r="A8" t="s">
        <v>5114</v>
      </c>
      <c r="B8" s="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0" zoomScaleNormal="115" workbookViewId="0">
      <selection activeCell="P3" sqref="P3"/>
    </sheetView>
  </sheetViews>
  <sheetFormatPr defaultRowHeight="14.4" x14ac:dyDescent="0.3"/>
  <cols>
    <col min="1" max="1" width="15.5546875" bestFit="1" customWidth="1"/>
    <col min="2" max="2" width="12.21875" bestFit="1" customWidth="1"/>
    <col min="3" max="3" width="16.33203125" bestFit="1" customWidth="1"/>
    <col min="4" max="4" width="11.88671875" customWidth="1"/>
    <col min="5" max="5" width="10.33203125" customWidth="1"/>
    <col min="6" max="6" width="16.77734375" customWidth="1"/>
    <col min="7" max="7" width="16.44140625" customWidth="1"/>
    <col min="8" max="8" width="14.21875" bestFit="1" customWidth="1"/>
    <col min="9" max="9" width="13.21875" customWidth="1"/>
    <col min="10" max="10" width="12.21875" customWidth="1"/>
    <col min="11" max="11" width="6.21875" customWidth="1"/>
    <col min="12" max="12" width="11.21875" customWidth="1"/>
    <col min="13" max="13" width="7.77734375" bestFit="1" customWidth="1"/>
    <col min="14" max="14" width="18.77734375" customWidth="1"/>
    <col min="15" max="15" width="17.777343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 t="shared" ref="M2:M65" si="0">L2*E2</f>
        <v>19.899999999999999</v>
      </c>
      <c r="N2" t="str">
        <f t="shared" ref="N2:N65" si="1">IF(I2="Rob","Robusta",IF(I2="Exc","Excelsa",IF(I2="Ara","Arabica",IF(I2="Lib","Liberica",""))))</f>
        <v>Robusta</v>
      </c>
      <c r="O2" t="str">
        <f t="shared" ref="O2:O65" si="2">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si="0"/>
        <v>41.25</v>
      </c>
      <c r="N3" t="str">
        <f t="shared" si="1"/>
        <v>Excelsa</v>
      </c>
      <c r="O3" t="str">
        <f t="shared" si="2"/>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ref="M66:M129" si="3">L66*E66</f>
        <v>35.82</v>
      </c>
      <c r="N66" t="str">
        <f t="shared" ref="N66:N129" si="4">IF(I66="Rob","Robusta",IF(I66="Exc","Excelsa",IF(I66="Ara","Arabica",IF(I66="Lib","Liberica",""))))</f>
        <v>Robusta</v>
      </c>
      <c r="O66" t="str">
        <f t="shared" ref="O66:O129" si="5">IF(J66="M","Medium",IF(J66="L","Light",IF(J66="D","Dark","")))</f>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si="3"/>
        <v>82.339999999999989</v>
      </c>
      <c r="N67" t="str">
        <f t="shared" si="4"/>
        <v>Robusta</v>
      </c>
      <c r="O67" t="str">
        <f t="shared" si="5"/>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ref="M130:M193" si="6">L130*E130</f>
        <v>6.75</v>
      </c>
      <c r="N130" t="str">
        <f t="shared" ref="N130:N193" si="7">IF(I130="Rob","Robusta",IF(I130="Exc","Excelsa",IF(I130="Ara","Arabica",IF(I130="Lib","Liberica",""))))</f>
        <v>Arabica</v>
      </c>
      <c r="O130" t="str">
        <f t="shared" ref="O130:O193" si="8">IF(J130="M","Medium",IF(J130="L","Light",IF(J130="D","Dark","")))</f>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si="6"/>
        <v>12.15</v>
      </c>
      <c r="N131" t="str">
        <f t="shared" si="7"/>
        <v>Excelsa</v>
      </c>
      <c r="O131" t="str">
        <f t="shared" si="8"/>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ref="M194:M257" si="9">L194*E194</f>
        <v>72.900000000000006</v>
      </c>
      <c r="N194" t="str">
        <f t="shared" ref="N194:N257" si="10">IF(I194="Rob","Robusta",IF(I194="Exc","Excelsa",IF(I194="Ara","Arabica",IF(I194="Lib","Liberica",""))))</f>
        <v>Excelsa</v>
      </c>
      <c r="O194" t="str">
        <f t="shared" ref="O194:O257" si="11">IF(J194="M","Medium",IF(J194="L","Light",IF(J194="D","Dark","")))</f>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si="9"/>
        <v>44.55</v>
      </c>
      <c r="N195" t="str">
        <f t="shared" si="10"/>
        <v>Excelsa</v>
      </c>
      <c r="O195" t="str">
        <f t="shared" si="11"/>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ref="M258:M321" si="12">L258*E258</f>
        <v>17.46</v>
      </c>
      <c r="N258" t="str">
        <f t="shared" ref="N258:N321" si="13">IF(I258="Rob","Robusta",IF(I258="Exc","Excelsa",IF(I258="Ara","Arabica",IF(I258="Lib","Liberica",""))))</f>
        <v>Liberica</v>
      </c>
      <c r="O258" t="str">
        <f t="shared" ref="O258:O321" si="14">IF(J258="M","Medium",IF(J258="L","Light",IF(J258="D","Dark","")))</f>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si="12"/>
        <v>27.945</v>
      </c>
      <c r="N259" t="str">
        <f t="shared" si="13"/>
        <v>Excelsa</v>
      </c>
      <c r="O259" t="str">
        <f t="shared" si="14"/>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ref="M322:M385" si="15">L322*E322</f>
        <v>19.424999999999997</v>
      </c>
      <c r="N322" t="str">
        <f t="shared" ref="N322:N385" si="16">IF(I322="Rob","Robusta",IF(I322="Exc","Excelsa",IF(I322="Ara","Arabica",IF(I322="Lib","Liberica",""))))</f>
        <v>Arabica</v>
      </c>
      <c r="O322" t="str">
        <f t="shared" ref="O322:O385" si="17">IF(J322="M","Medium",IF(J322="L","Light",IF(J322="D","Dark","")))</f>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si="15"/>
        <v>20.25</v>
      </c>
      <c r="N323" t="str">
        <f t="shared" si="16"/>
        <v>Arabica</v>
      </c>
      <c r="O323" t="str">
        <f t="shared" si="17"/>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ref="M386:M449" si="18">L386*E386</f>
        <v>119.13999999999999</v>
      </c>
      <c r="N386" t="str">
        <f t="shared" ref="N386:N449" si="19">IF(I386="Rob","Robusta",IF(I386="Exc","Excelsa",IF(I386="Ara","Arabica",IF(I386="Lib","Liberica",""))))</f>
        <v>Arabica</v>
      </c>
      <c r="O386" t="str">
        <f t="shared" ref="O386:O449" si="20">IF(J386="M","Medium",IF(J386="L","Light",IF(J386="D","Dark","")))</f>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si="18"/>
        <v>43.650000000000006</v>
      </c>
      <c r="N387" t="str">
        <f t="shared" si="19"/>
        <v>Liberica</v>
      </c>
      <c r="O387" t="str">
        <f t="shared" si="20"/>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ref="M450:M513" si="21">L450*E450</f>
        <v>7.169999999999999</v>
      </c>
      <c r="N450" t="str">
        <f t="shared" ref="N450:N513" si="22">IF(I450="Rob","Robusta",IF(I450="Exc","Excelsa",IF(I450="Ara","Arabica",IF(I450="Lib","Liberica",""))))</f>
        <v>Robusta</v>
      </c>
      <c r="O450" t="str">
        <f t="shared" ref="O450:O513" si="23">IF(J450="M","Medium",IF(J450="L","Light",IF(J450="D","Dark","")))</f>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si="21"/>
        <v>5.3699999999999992</v>
      </c>
      <c r="N451" t="str">
        <f t="shared" si="22"/>
        <v>Robusta</v>
      </c>
      <c r="O451" t="str">
        <f t="shared" si="23"/>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ref="M514:M577" si="24">L514*E514</f>
        <v>47.55</v>
      </c>
      <c r="N514" t="str">
        <f t="shared" ref="N514:N577" si="25">IF(I514="Rob","Robusta",IF(I514="Exc","Excelsa",IF(I514="Ara","Arabica",IF(I514="Lib","Liberica",""))))</f>
        <v>Liberica</v>
      </c>
      <c r="O514" t="str">
        <f t="shared" ref="O514:O577" si="26">IF(J514="M","Medium",IF(J514="L","Light",IF(J514="D","Dark","")))</f>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si="24"/>
        <v>79.25</v>
      </c>
      <c r="N515" t="str">
        <f t="shared" si="25"/>
        <v>Liberica</v>
      </c>
      <c r="O515" t="str">
        <f t="shared" si="26"/>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ref="M578:M641" si="27">L578*E578</f>
        <v>17.91</v>
      </c>
      <c r="N578" t="str">
        <f t="shared" ref="N578:N641" si="28">IF(I578="Rob","Robusta",IF(I578="Exc","Excelsa",IF(I578="Ara","Arabica",IF(I578="Lib","Liberica",""))))</f>
        <v>Arabica</v>
      </c>
      <c r="O578" t="str">
        <f t="shared" ref="O578:O641" si="29">IF(J578="M","Medium",IF(J578="L","Light",IF(J578="D","Dark","")))</f>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si="27"/>
        <v>58.2</v>
      </c>
      <c r="N579" t="str">
        <f t="shared" si="28"/>
        <v>Liberica</v>
      </c>
      <c r="O579" t="str">
        <f t="shared" si="29"/>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ref="M642:M705" si="30">L642*E642</f>
        <v>137.42499999999998</v>
      </c>
      <c r="N642" t="str">
        <f t="shared" ref="N642:N705" si="31">IF(I642="Rob","Robusta",IF(I642="Exc","Excelsa",IF(I642="Ara","Arabica",IF(I642="Lib","Liberica",""))))</f>
        <v>Robusta</v>
      </c>
      <c r="O642" t="str">
        <f t="shared" ref="O642:O705" si="32">IF(J642="M","Medium",IF(J642="L","Light",IF(J642="D","Dark","")))</f>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si="30"/>
        <v>35.849999999999994</v>
      </c>
      <c r="N643" t="str">
        <f t="shared" si="31"/>
        <v>Robusta</v>
      </c>
      <c r="O643" t="str">
        <f t="shared" si="32"/>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ref="M706:M769" si="33">L706*E706</f>
        <v>21.87</v>
      </c>
      <c r="N706" t="str">
        <f t="shared" ref="N706:N769" si="34">IF(I706="Rob","Robusta",IF(I706="Exc","Excelsa",IF(I706="Ara","Arabica",IF(I706="Lib","Liberica",""))))</f>
        <v>Excelsa</v>
      </c>
      <c r="O706" t="str">
        <f t="shared" ref="O706:O769" si="35">IF(J706="M","Medium",IF(J706="L","Light",IF(J706="D","Dark","")))</f>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si="33"/>
        <v>17.82</v>
      </c>
      <c r="N707" t="str">
        <f t="shared" si="34"/>
        <v>Excelsa</v>
      </c>
      <c r="O707" t="str">
        <f t="shared" si="35"/>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ref="M770:M833" si="36">L770*E770</f>
        <v>23.9</v>
      </c>
      <c r="N770" t="str">
        <f t="shared" ref="N770:N833" si="37">IF(I770="Rob","Robusta",IF(I770="Exc","Excelsa",IF(I770="Ara","Arabica",IF(I770="Lib","Liberica",""))))</f>
        <v>Robusta</v>
      </c>
      <c r="O770" t="str">
        <f t="shared" ref="O770:O833" si="38">IF(J770="M","Medium",IF(J770="L","Light",IF(J770="D","Dark","")))</f>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si="36"/>
        <v>137.31</v>
      </c>
      <c r="N771" t="str">
        <f t="shared" si="37"/>
        <v>Robusta</v>
      </c>
      <c r="O771" t="str">
        <f t="shared" si="38"/>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ref="M834:M897" si="39">L834*E834</f>
        <v>59.699999999999996</v>
      </c>
      <c r="N834" t="str">
        <f t="shared" ref="N834:N897" si="40">IF(I834="Rob","Robusta",IF(I834="Exc","Excelsa",IF(I834="Ara","Arabica",IF(I834="Lib","Liberica",""))))</f>
        <v>Robusta</v>
      </c>
      <c r="O834" t="str">
        <f t="shared" ref="O834:O897" si="41">IF(J834="M","Medium",IF(J834="L","Light",IF(J834="D","Dark","")))</f>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si="39"/>
        <v>82.339999999999989</v>
      </c>
      <c r="N835" t="str">
        <f t="shared" si="40"/>
        <v>Robusta</v>
      </c>
      <c r="O835" t="str">
        <f t="shared" si="41"/>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ref="M898:M961" si="42">L898*E898</f>
        <v>32.22</v>
      </c>
      <c r="N898" t="str">
        <f t="shared" ref="N898:N961" si="43">IF(I898="Rob","Robusta",IF(I898="Exc","Excelsa",IF(I898="Ara","Arabica",IF(I898="Lib","Liberica",""))))</f>
        <v>Robusta</v>
      </c>
      <c r="O898" t="str">
        <f t="shared" ref="O898:O961" si="44">IF(J898="M","Medium",IF(J898="L","Light",IF(J898="D","Dark","")))</f>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si="42"/>
        <v>24.3</v>
      </c>
      <c r="N899" t="str">
        <f t="shared" si="43"/>
        <v>Excelsa</v>
      </c>
      <c r="O899" t="str">
        <f t="shared" si="44"/>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ref="M962:M1025" si="45">L962*E962</f>
        <v>79.25</v>
      </c>
      <c r="N962" t="str">
        <f t="shared" ref="N962:N1001" si="46">IF(I962="Rob","Robusta",IF(I962="Exc","Excelsa",IF(I962="Ara","Arabica",IF(I962="Lib","Liberica",""))))</f>
        <v>Liberica</v>
      </c>
      <c r="O962" t="str">
        <f t="shared" ref="O962:O1001" si="47">IF(J962="M","Medium",IF(J962="L","Light",IF(J962="D","Dark","")))</f>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si="45"/>
        <v>45.769999999999996</v>
      </c>
      <c r="N963" t="str">
        <f t="shared" si="46"/>
        <v>Arabica</v>
      </c>
      <c r="O963" t="str">
        <f t="shared" si="47"/>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3" workbookViewId="0"/>
  </sheetViews>
  <sheetFormatPr defaultRowHeight="14.4" x14ac:dyDescent="0.3"/>
  <cols>
    <col min="1" max="1" width="16.21875" bestFit="1" customWidth="1"/>
    <col min="2" max="2" width="23.77734375" bestFit="1" customWidth="1"/>
    <col min="3" max="3" width="39.44140625" bestFit="1" customWidth="1"/>
    <col min="4" max="4" width="18.21875" bestFit="1" customWidth="1"/>
    <col min="5" max="5" width="27" bestFit="1" customWidth="1"/>
    <col min="6" max="6" width="20.77734375" bestFit="1" customWidth="1"/>
    <col min="7" max="7" width="15.44140625" bestFit="1" customWidth="1"/>
    <col min="9" max="9" width="11.7773437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21875" bestFit="1" customWidth="1"/>
    <col min="2" max="2" width="11.7773437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Ahmed Hewidi</cp:lastModifiedBy>
  <cp:revision/>
  <dcterms:created xsi:type="dcterms:W3CDTF">2022-11-26T09:51:45Z</dcterms:created>
  <dcterms:modified xsi:type="dcterms:W3CDTF">2026-08-27T01:54:44Z</dcterms:modified>
  <cp:category/>
  <cp:contentStatus/>
</cp:coreProperties>
</file>